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Setup" sheetId="3" state="visible" r:id="rId3"/>
    <sheet xmlns:r="http://schemas.openxmlformats.org/officeDocument/2006/relationships" name="January" sheetId="4" state="visible" r:id="rId4"/>
    <sheet xmlns:r="http://schemas.openxmlformats.org/officeDocument/2006/relationships" name="February" sheetId="5" state="visible" r:id="rId5"/>
    <sheet xmlns:r="http://schemas.openxmlformats.org/officeDocument/2006/relationships" name="March" sheetId="6" state="visible" r:id="rId6"/>
    <sheet xmlns:r="http://schemas.openxmlformats.org/officeDocument/2006/relationships" name="April" sheetId="7" state="visible" r:id="rId7"/>
    <sheet xmlns:r="http://schemas.openxmlformats.org/officeDocument/2006/relationships" name="May" sheetId="8" state="visible" r:id="rId8"/>
    <sheet xmlns:r="http://schemas.openxmlformats.org/officeDocument/2006/relationships" name="June" sheetId="9" state="visible" r:id="rId9"/>
    <sheet xmlns:r="http://schemas.openxmlformats.org/officeDocument/2006/relationships" name="July" sheetId="10" state="visible" r:id="rId10"/>
    <sheet xmlns:r="http://schemas.openxmlformats.org/officeDocument/2006/relationships" name="August" sheetId="11" state="visible" r:id="rId11"/>
    <sheet xmlns:r="http://schemas.openxmlformats.org/officeDocument/2006/relationships" name="September" sheetId="12" state="visible" r:id="rId12"/>
    <sheet xmlns:r="http://schemas.openxmlformats.org/officeDocument/2006/relationships" name="October" sheetId="13" state="visible" r:id="rId13"/>
    <sheet xmlns:r="http://schemas.openxmlformats.org/officeDocument/2006/relationships" name="November" sheetId="14" state="visible" r:id="rId14"/>
    <sheet xmlns:r="http://schemas.openxmlformats.org/officeDocument/2006/relationships" name="December" sheetId="15" state="visible" r:id="rId15"/>
    <sheet xmlns:r="http://schemas.openxmlformats.org/officeDocument/2006/relationships" name="Bills" sheetId="16" state="visible" r:id="rId16"/>
    <sheet xmlns:r="http://schemas.openxmlformats.org/officeDocument/2006/relationships" name="Paycheck plan" sheetId="17" state="visible" r:id="rId17"/>
    <sheet xmlns:r="http://schemas.openxmlformats.org/officeDocument/2006/relationships" name="Debt payoff" sheetId="18" state="visible" r:id="rId18"/>
    <sheet xmlns:r="http://schemas.openxmlformats.org/officeDocument/2006/relationships" name="Savings goals" sheetId="19" state="visible" r:id="rId19"/>
  </sheets>
  <definedNames>
    <definedName name="Year">'Setup'!$C$6</definedName>
    <definedName name="Categories">'Setup'!$E$10:$E$39</definedName>
    <definedName name="_xlnm.Print_Area" localSheetId="0">'Start here'!$B$2:$E$26</definedName>
    <definedName name="_xlnm.Print_Area" localSheetId="1">'Dashboard'!$B$2:$I$37</definedName>
    <definedName name="_xlnm.Print_Area" localSheetId="2">'Setup'!$B$2:$G$41</definedName>
    <definedName name="_xlnm.Print_Area" localSheetId="3">'January'!$B$2:$L$30</definedName>
    <definedName name="_xlnm.Print_Area" localSheetId="4">'February'!$B$2:$L$30</definedName>
    <definedName name="_xlnm.Print_Area" localSheetId="5">'March'!$B$2:$L$30</definedName>
    <definedName name="_xlnm.Print_Area" localSheetId="6">'April'!$B$2:$L$30</definedName>
    <definedName name="_xlnm.Print_Area" localSheetId="7">'May'!$B$2:$L$30</definedName>
    <definedName name="_xlnm.Print_Area" localSheetId="8">'June'!$B$2:$L$30</definedName>
    <definedName name="_xlnm.Print_Area" localSheetId="9">'July'!$B$2:$L$30</definedName>
    <definedName name="_xlnm.Print_Area" localSheetId="10">'August'!$B$2:$L$30</definedName>
    <definedName name="_xlnm.Print_Area" localSheetId="11">'September'!$B$2:$L$30</definedName>
    <definedName name="_xlnm.Print_Area" localSheetId="12">'October'!$B$2:$L$30</definedName>
    <definedName name="_xlnm.Print_Area" localSheetId="13">'November'!$B$2:$L$30</definedName>
    <definedName name="_xlnm.Print_Area" localSheetId="14">'December'!$B$2:$L$30</definedName>
    <definedName name="_xlnm.Print_Area" localSheetId="15">'Bills'!$B$2:$Q$16</definedName>
    <definedName name="_xlnm.Print_Area" localSheetId="16">'Paycheck plan'!$B$2:$F$32</definedName>
    <definedName name="_xlnm.Print_Area" localSheetId="17">'Debt payoff'!$B$2:$J$15</definedName>
    <definedName name="_xlnm.Print_Area" localSheetId="18">'Savings goals'!$B$2:$H$12</definedName>
  </definedNames>
  <calcPr calcId="124519" fullCalcOnLoad="1"/>
</workbook>
</file>

<file path=xl/styles.xml><?xml version="1.0" encoding="utf-8"?>
<styleSheet xmlns="http://schemas.openxmlformats.org/spreadsheetml/2006/main">
  <numFmts count="6">
    <numFmt numFmtId="164" formatCode="&quot;$&quot;#,##0.00;[Red]-&quot;$&quot;#,##0.00;&quot;$&quot;0.00"/>
    <numFmt numFmtId="165" formatCode="mmm d"/>
    <numFmt numFmtId="166" formatCode="mmm d, yyyy"/>
    <numFmt numFmtId="167" formatCode="ddd mmm d"/>
    <numFmt numFmtId="168" formatCode="0.0%"/>
    <numFmt numFmtId="169" formatCode="mmm yyyy"/>
  </numFmts>
  <fonts count="17">
    <font>
      <name val="Calibri"/>
      <family val="2"/>
      <color theme="1"/>
      <sz val="11"/>
      <scheme val="minor"/>
    </font>
    <font>
      <name val="Arial"/>
      <b val="1"/>
      <color rgb="001F2A44"/>
      <sz val="22"/>
    </font>
    <font>
      <name val="Arial"/>
      <color rgb="005E6B78"/>
      <sz val="11"/>
    </font>
    <font>
      <name val="Arial"/>
      <b val="1"/>
      <color rgb="00FFFFFF"/>
      <sz val="14"/>
    </font>
    <font>
      <name val="Arial"/>
      <b val="1"/>
      <color rgb="001F2A44"/>
      <sz val="12"/>
    </font>
    <font>
      <name val="Arial"/>
      <color rgb="005E6B78"/>
      <sz val="10"/>
    </font>
    <font>
      <name val="Arial"/>
      <b val="1"/>
      <color rgb="001F2A44"/>
      <sz val="14"/>
    </font>
    <font>
      <name val="Arial"/>
      <i val="1"/>
      <color rgb="005E6B78"/>
      <sz val="10"/>
    </font>
    <font>
      <name val="Arial"/>
      <b val="1"/>
      <color rgb="00FFFFFF"/>
      <sz val="10"/>
    </font>
    <font>
      <name val="Arial"/>
      <color rgb="001F2A44"/>
      <sz val="11"/>
    </font>
    <font>
      <name val="Arial"/>
      <color rgb="001F2A44"/>
      <sz val="10"/>
    </font>
    <font>
      <name val="Arial"/>
      <b val="1"/>
      <color rgb="001F2A44"/>
      <sz val="11"/>
    </font>
    <font>
      <name val="Arial"/>
      <i val="1"/>
      <color rgb="005E6B78"/>
      <sz val="9"/>
    </font>
    <font>
      <name val="Arial"/>
      <color rgb="002F6F5E"/>
      <sz val="9"/>
    </font>
    <font>
      <name val="Arial"/>
      <color rgb="002F6F5E"/>
      <sz val="11"/>
    </font>
    <font>
      <name val="Arial"/>
      <b val="1"/>
      <color rgb="002F6F5E"/>
      <sz val="11"/>
    </font>
    <font>
      <name val="Arial"/>
      <b val="1"/>
      <color rgb="002F6F5E"/>
      <sz val="9"/>
      <u val="single"/>
    </font>
  </fonts>
  <fills count="5">
    <fill>
      <patternFill/>
    </fill>
    <fill>
      <patternFill patternType="gray125"/>
    </fill>
    <fill>
      <patternFill patternType="solid">
        <fgColor rgb="002F6F5E"/>
      </patternFill>
    </fill>
    <fill>
      <patternFill patternType="solid">
        <fgColor rgb="001F2A44"/>
      </patternFill>
    </fill>
    <fill>
      <patternFill patternType="solid">
        <fgColor rgb="00E3EFE8"/>
      </patternFill>
    </fill>
  </fills>
  <borders count="2">
    <border>
      <left/>
      <right/>
      <top/>
      <bottom/>
      <diagonal/>
    </border>
    <border>
      <bottom style="thin">
        <color rgb="005E6B78"/>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16" fillId="0" borderId="0" applyAlignment="1" pivotButton="0" quotePrefix="0" xfId="0">
      <alignment horizontal="left"/>
    </xf>
    <xf numFmtId="0" fontId="3" fillId="2" borderId="0" applyAlignment="1" pivotButton="0" quotePrefix="0" xfId="0">
      <alignment horizontal="center" vertical="center"/>
    </xf>
    <xf numFmtId="0" fontId="4" fillId="0" borderId="0" applyAlignment="1" pivotButton="0" quotePrefix="0" xfId="0">
      <alignment vertical="center" wrapText="1"/>
    </xf>
    <xf numFmtId="0" fontId="5" fillId="0" borderId="0" applyAlignment="1" pivotButton="0" quotePrefix="0" xfId="0">
      <alignment vertical="center" wrapText="1"/>
    </xf>
    <xf numFmtId="0" fontId="6" fillId="0" borderId="0" pivotButton="0" quotePrefix="0" xfId="0"/>
    <xf numFmtId="0" fontId="7" fillId="0" borderId="0" pivotButton="0" quotePrefix="0" xfId="0"/>
    <xf numFmtId="0" fontId="8" fillId="3" borderId="0" applyAlignment="1" pivotButton="0" quotePrefix="0" xfId="0">
      <alignment horizontal="center" vertical="center" wrapText="1"/>
    </xf>
    <xf numFmtId="0" fontId="9" fillId="0" borderId="0" pivotButton="0" quotePrefix="0" xfId="0"/>
    <xf numFmtId="0" fontId="11" fillId="0" borderId="0" applyAlignment="1" pivotButton="0" quotePrefix="0" xfId="0">
      <alignment horizontal="center"/>
    </xf>
    <xf numFmtId="0" fontId="10" fillId="0" borderId="0" applyAlignment="1" pivotButton="0" quotePrefix="0" xfId="0">
      <alignment vertical="center" wrapText="1"/>
    </xf>
    <xf numFmtId="0" fontId="4" fillId="0" borderId="0" pivotButton="0" quotePrefix="0" xfId="0"/>
    <xf numFmtId="0" fontId="15" fillId="0" borderId="0" pivotButton="0" quotePrefix="0" xfId="0"/>
    <xf numFmtId="0" fontId="9" fillId="4" borderId="1" applyProtection="1" pivotButton="0" quotePrefix="0" xfId="0">
      <protection locked="0" hidden="0"/>
    </xf>
    <xf numFmtId="0" fontId="5" fillId="0" borderId="0" pivotButton="0" quotePrefix="0" xfId="0"/>
    <xf numFmtId="0" fontId="11" fillId="0" borderId="0" pivotButton="0" quotePrefix="0" xfId="0"/>
    <xf numFmtId="0" fontId="4" fillId="0" borderId="0" applyAlignment="1" pivotButton="0" quotePrefix="0" xfId="0">
      <alignment vertical="center"/>
    </xf>
    <xf numFmtId="0" fontId="14" fillId="0" borderId="0" pivotButton="0" quotePrefix="0" xfId="0"/>
    <xf numFmtId="164" fontId="9" fillId="0" borderId="0" pivotButton="0" quotePrefix="0" xfId="0"/>
    <xf numFmtId="164" fontId="11" fillId="0" borderId="0" pivotButton="0" quotePrefix="0" xfId="0"/>
    <xf numFmtId="9" fontId="11" fillId="0" borderId="0" pivotButton="0" quotePrefix="0" xfId="0"/>
    <xf numFmtId="1" fontId="9" fillId="4" borderId="1" applyProtection="1" pivotButton="0" quotePrefix="0" xfId="0">
      <protection locked="0" hidden="0"/>
    </xf>
    <xf numFmtId="164" fontId="9" fillId="4" borderId="1" applyProtection="1" pivotButton="0" quotePrefix="0" xfId="0">
      <protection locked="0" hidden="0"/>
    </xf>
    <xf numFmtId="164" fontId="4" fillId="4" borderId="1" applyProtection="1" pivotButton="0" quotePrefix="0" xfId="0">
      <protection locked="0" hidden="0"/>
    </xf>
    <xf numFmtId="0" fontId="12" fillId="0" borderId="0" pivotButton="0" quotePrefix="0" xfId="0"/>
    <xf numFmtId="165" fontId="9" fillId="4" borderId="1" applyAlignment="1" applyProtection="1" pivotButton="0" quotePrefix="0" xfId="0">
      <alignment horizontal="center"/>
      <protection locked="0" hidden="0"/>
    </xf>
    <xf numFmtId="0" fontId="9" fillId="4" borderId="1" applyAlignment="1" applyProtection="1" pivotButton="0" quotePrefix="0" xfId="0">
      <alignment indent="1"/>
      <protection locked="0" hidden="0"/>
    </xf>
    <xf numFmtId="164" fontId="4" fillId="0" borderId="0" pivotButton="0" quotePrefix="0" xfId="0"/>
    <xf numFmtId="9" fontId="9" fillId="0" borderId="0" pivotButton="0" quotePrefix="0" xfId="0"/>
    <xf numFmtId="0" fontId="13" fillId="0" borderId="0" pivotButton="0" quotePrefix="0" xfId="0"/>
    <xf numFmtId="0" fontId="9" fillId="4" borderId="1" applyAlignment="1" applyProtection="1" pivotButton="0" quotePrefix="0" xfId="0">
      <alignment horizontal="center"/>
      <protection locked="0" hidden="0"/>
    </xf>
    <xf numFmtId="166" fontId="9" fillId="4" borderId="1" applyProtection="1" pivotButton="0" quotePrefix="0" xfId="0">
      <protection locked="0" hidden="0"/>
    </xf>
    <xf numFmtId="167" fontId="9" fillId="0" borderId="0" pivotButton="0" quotePrefix="0" xfId="0"/>
    <xf numFmtId="165" fontId="9" fillId="0" borderId="0" pivotButton="0" quotePrefix="0" xfId="0"/>
    <xf numFmtId="168" fontId="9" fillId="4" borderId="1" applyProtection="1" pivotButton="0" quotePrefix="0" xfId="0">
      <protection locked="0" hidden="0"/>
    </xf>
    <xf numFmtId="1" fontId="9" fillId="0" borderId="0" pivotButton="0" quotePrefix="0" xfId="0"/>
    <xf numFmtId="169" fontId="9" fillId="4" borderId="1" applyProtection="1" pivotButton="0" quotePrefix="0" xfId="0">
      <protection locked="0" hidden="0"/>
    </xf>
  </cellXfs>
  <cellStyles count="1">
    <cellStyle name="Normal" xfId="0" builtinId="0" hidden="0"/>
  </cellStyles>
  <dxfs count="3">
    <dxf>
      <font>
        <b val="1"/>
        <color rgb="00FFFFFF"/>
      </font>
      <fill>
        <patternFill patternType="solid">
          <fgColor rgb="002F6F5E"/>
        </patternFill>
      </fill>
    </dxf>
    <dxf>
      <font>
        <b val="1"/>
        <color rgb="00C2410C"/>
      </font>
    </dxf>
    <dxf>
      <font>
        <color rgb="00C2410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Income and spending by month</a:t>
            </a:r>
          </a:p>
        </rich>
      </tx>
    </title>
    <plotArea>
      <barChart>
        <barDir val="col"/>
        <grouping val="clustered"/>
        <ser>
          <idx val="0"/>
          <order val="0"/>
          <tx>
            <strRef>
              <f>'Dashboard'!C6</f>
            </strRef>
          </tx>
          <spPr>
            <a:solidFill xmlns:a="http://schemas.openxmlformats.org/drawingml/2006/main">
              <a:srgbClr val="2F6F5E"/>
            </a:solidFill>
            <a:ln xmlns:a="http://schemas.openxmlformats.org/drawingml/2006/main">
              <a:solidFill>
                <a:srgbClr val="2F6F5E"/>
              </a:solidFill>
              <a:prstDash val="solid"/>
            </a:ln>
          </spPr>
          <cat>
            <numRef>
              <f>'Dashboard'!$B$7:$B$18</f>
            </numRef>
          </cat>
          <val>
            <numRef>
              <f>'Dashboard'!$C$7:$C$18</f>
            </numRef>
          </val>
        </ser>
        <ser>
          <idx val="1"/>
          <order val="1"/>
          <tx>
            <strRef>
              <f>'Dashboard'!D6</f>
            </strRef>
          </tx>
          <spPr>
            <a:solidFill xmlns:a="http://schemas.openxmlformats.org/drawingml/2006/main">
              <a:srgbClr val="1F2A44"/>
            </a:solidFill>
            <a:ln xmlns:a="http://schemas.openxmlformats.org/drawingml/2006/main">
              <a:solidFill>
                <a:srgbClr val="1F2A44"/>
              </a:solidFill>
              <a:prstDash val="solid"/>
            </a:ln>
          </spPr>
          <cat>
            <numRef>
              <f>'Dashboard'!$B$7:$B$18</f>
            </numRef>
          </cat>
          <val>
            <numRef>
              <f>'Dashboard'!$D$7:$D$18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quot;$&quot;#,##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Where the money went</a:t>
            </a:r>
          </a:p>
        </rich>
      </tx>
    </title>
    <plotArea>
      <pieChart>
        <varyColors val="1"/>
        <ser>
          <idx val="0"/>
          <order val="0"/>
          <tx>
            <strRef>
              <f>'Dashboard'!C23</f>
            </strRef>
          </tx>
          <spPr>
            <a:ln xmlns:a="http://schemas.openxmlformats.org/drawingml/2006/main">
              <a:prstDash val="solid"/>
            </a:ln>
          </spPr>
          <dPt>
            <idx val="0"/>
            <spPr>
              <a:solidFill xmlns:a="http://schemas.openxmlformats.org/drawingml/2006/main">
                <a:srgbClr val="1F2A44"/>
              </a:solidFill>
              <a:ln xmlns:a="http://schemas.openxmlformats.org/drawingml/2006/main">
                <a:prstDash val="solid"/>
              </a:ln>
            </spPr>
          </dPt>
          <dPt>
            <idx val="1"/>
            <spPr>
              <a:solidFill xmlns:a="http://schemas.openxmlformats.org/drawingml/2006/main">
                <a:srgbClr val="2F6F5E"/>
              </a:solidFill>
              <a:ln xmlns:a="http://schemas.openxmlformats.org/drawingml/2006/main">
                <a:prstDash val="solid"/>
              </a:ln>
            </spPr>
          </dPt>
          <dPt>
            <idx val="2"/>
            <spPr>
              <a:solidFill xmlns:a="http://schemas.openxmlformats.org/drawingml/2006/main">
                <a:srgbClr val="8FB8A8"/>
              </a:solidFill>
              <a:ln xmlns:a="http://schemas.openxmlformats.org/drawingml/2006/main">
                <a:prstDash val="solid"/>
              </a:ln>
            </spPr>
          </dPt>
          <dPt>
            <idx val="3"/>
            <spPr>
              <a:solidFill xmlns:a="http://schemas.openxmlformats.org/drawingml/2006/main">
                <a:srgbClr val="C2410C"/>
              </a:solidFill>
              <a:ln xmlns:a="http://schemas.openxmlformats.org/drawingml/2006/main">
                <a:prstDash val="solid"/>
              </a:ln>
            </spPr>
          </dPt>
          <cat>
            <numRef>
              <f>'Dashboard'!$B$24:$B$27</f>
            </numRef>
          </cat>
          <val>
            <numRef>
              <f>'Dashboard'!$C$24:$C$27</f>
            </numRef>
          </val>
        </ser>
        <dLbls>
          <showVal val="0"/>
          <showCatName val="0"/>
          <showSerName val="0"/>
          <showPercent val="1"/>
          <showLeaderLines val="0"/>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36</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21</row>
      <rowOff>0</rowOff>
    </from>
    <ext cx="39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2F6F5E"/>
    <outlinePr summaryBelow="1" summaryRight="1"/>
    <pageSetUpPr fitToPage="1"/>
  </sheetPr>
  <dimension ref="B2:W38"/>
  <sheetViews>
    <sheetView showGridLines="0" workbookViewId="0">
      <selection activeCell="A1" sqref="A1"/>
    </sheetView>
  </sheetViews>
  <sheetFormatPr baseColWidth="8" defaultRowHeight="15"/>
  <cols>
    <col width="3" customWidth="1" min="1" max="1"/>
    <col width="6" customWidth="1" min="2" max="2"/>
    <col width="34" customWidth="1" min="3" max="3"/>
    <col width="14" customWidth="1" min="4" max="4"/>
    <col width="6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hidden="1" width="14" customWidth="1" min="20" max="20"/>
    <col hidden="1" width="14" customWidth="1" min="21" max="21"/>
    <col hidden="1" width="14" customWidth="1" min="22" max="22"/>
    <col hidden="1"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Clear Budget</t>
        </is>
      </c>
    </row>
    <row r="3">
      <c r="B3" s="2" t="inlineStr">
        <is>
          <t>Monthly budget, paycheck plan, bills, debt and savings for Google Sheets and Excel</t>
        </is>
      </c>
    </row>
    <row r="4">
      <c r="C4" s="3" t="inlineStr">
        <is>
          <t>Start here</t>
        </is>
      </c>
      <c r="D4" s="3" t="inlineStr">
        <is>
          <t>Dashboard</t>
        </is>
      </c>
      <c r="E4" s="3" t="inlineStr">
        <is>
          <t>Setup</t>
        </is>
      </c>
      <c r="F4" s="3" t="inlineStr">
        <is>
          <t>Months</t>
        </is>
      </c>
      <c r="G4" s="3" t="inlineStr">
        <is>
          <t>Bills</t>
        </is>
      </c>
      <c r="H4" s="3" t="inlineStr">
        <is>
          <t>Paycheck</t>
        </is>
      </c>
      <c r="I4" s="3" t="inlineStr">
        <is>
          <t>Debt</t>
        </is>
      </c>
      <c r="J4" s="3" t="inlineStr">
        <is>
          <t>Savings</t>
        </is>
      </c>
    </row>
    <row r="6" ht="75" customHeight="1">
      <c r="B6" s="4" t="n">
        <v>1</v>
      </c>
      <c r="C6" s="5" t="inlineStr">
        <is>
          <t>Open it in your app</t>
        </is>
      </c>
      <c r="D6" s="6" t="inlineStr">
        <is>
          <t>Download the file from Etsy.com &gt; Purchases on a computer (the Etsy phone app cannot download files) and save it; do not open it in a browser preview. Google Sheets: on drive.google.com choose New &gt; File upload, pick the .xlsx, then open it with Google Sheets. Excel: double-click the file. There is no link to request and no access to wait for.</t>
        </is>
      </c>
      <c r="T6" t="inlineStr">
        <is>
          <t>January</t>
        </is>
      </c>
      <c r="U6">
        <f>SUMPRODUCT(('January'!$E$7:$E$86&lt;&gt;"")*('January'!$D$7:$D$86&lt;&gt;"")*(COUNTIF(Categories,'January'!$D$7:$D$86)=0))</f>
        <v/>
      </c>
      <c r="V6">
        <f>SUMPRODUCT(('January'!$E$7:$E$86&lt;&gt;"")*('January'!$D$7:$D$86=""))</f>
        <v/>
      </c>
      <c r="W6">
        <f>IF(U6&gt;0,1,0)</f>
        <v/>
      </c>
    </row>
    <row r="7" ht="45" customHeight="1">
      <c r="B7" s="4" t="n">
        <v>2</v>
      </c>
      <c r="C7" s="5" t="inlineStr">
        <is>
          <t>Look at January, then clear it</t>
        </is>
      </c>
      <c r="D7" s="6" t="inlineStr">
        <is>
          <t>January holds an example month so you can see the math work. Select the shaded Date to Amount cells in January's log and press Delete. The Ready check below shows Done when it is gone.</t>
        </is>
      </c>
      <c r="T7" t="inlineStr">
        <is>
          <t>February</t>
        </is>
      </c>
      <c r="U7">
        <f>SUMPRODUCT(('February'!$E$7:$E$86&lt;&gt;"")*('February'!$D$7:$D$86&lt;&gt;"")*(COUNTIF(Categories,'February'!$D$7:$D$86)=0))</f>
        <v/>
      </c>
      <c r="V7">
        <f>SUMPRODUCT(('February'!$E$7:$E$86&lt;&gt;"")*('February'!$D$7:$D$86=""))</f>
        <v/>
      </c>
      <c r="W7">
        <f>IF(U7&gt;0,1,0)</f>
        <v/>
      </c>
    </row>
    <row r="8" ht="45" customHeight="1">
      <c r="B8" s="4" t="n">
        <v>3</v>
      </c>
      <c r="C8" s="5" t="inlineStr">
        <is>
          <t>Fill in Setup once</t>
        </is>
      </c>
      <c r="D8" s="6" t="inlineStr">
        <is>
          <t>Type your take-home pay, then name your own categories, pick a group for each and give each a monthly budget. Aim for Left to budget = 0. Change or add categories any time; every tab follows.</t>
        </is>
      </c>
      <c r="T8" t="inlineStr">
        <is>
          <t>March</t>
        </is>
      </c>
      <c r="U8">
        <f>SUMPRODUCT(('March'!$E$7:$E$86&lt;&gt;"")*('March'!$D$7:$D$86&lt;&gt;"")*(COUNTIF(Categories,'March'!$D$7:$D$86)=0))</f>
        <v/>
      </c>
      <c r="V8">
        <f>SUMPRODUCT(('March'!$E$7:$E$86&lt;&gt;"")*('March'!$D$7:$D$86=""))</f>
        <v/>
      </c>
      <c r="W8">
        <f>IF(U8&gt;0,1,0)</f>
        <v/>
      </c>
    </row>
    <row r="9" ht="75" customHeight="1">
      <c r="B9" s="4" t="n">
        <v>4</v>
      </c>
      <c r="C9" s="5" t="inlineStr">
        <is>
          <t>Log spending in this month</t>
        </is>
      </c>
      <c r="D9" s="6" t="inlineStr">
        <is>
          <t>Pick this month in the jump row below. Starting mid-year? Empty months stay out of your totals. Starting now, before the new year? Set the Year in Setup to this year and use October, November and December; in January keep that copy as last year's record and start this year in a fresh download, copying your Setup categories across.</t>
        </is>
      </c>
      <c r="T9" t="inlineStr">
        <is>
          <t>April</t>
        </is>
      </c>
      <c r="U9">
        <f>SUMPRODUCT(('April'!$E$7:$E$86&lt;&gt;"")*('April'!$D$7:$D$86&lt;&gt;"")*(COUNTIF(Categories,'April'!$D$7:$D$86)=0))</f>
        <v/>
      </c>
      <c r="V9">
        <f>SUMPRODUCT(('April'!$E$7:$E$86&lt;&gt;"")*('April'!$D$7:$D$86=""))</f>
        <v/>
      </c>
      <c r="W9">
        <f>IF(U9&gt;0,1,0)</f>
        <v/>
      </c>
    </row>
    <row r="10" ht="45" customHeight="1">
      <c r="B10" s="4" t="n">
        <v>5</v>
      </c>
      <c r="C10" s="5" t="inlineStr">
        <is>
          <t>Check your Dashboard</t>
        </is>
      </c>
      <c r="D10" s="6" t="inlineStr">
        <is>
          <t>See the year by month and where the money went. Bills, Paycheck plan, Debt and Savings are extras: use them when you want them, skip them if you do not.</t>
        </is>
      </c>
      <c r="T10" t="inlineStr">
        <is>
          <t>May</t>
        </is>
      </c>
      <c r="U10">
        <f>SUMPRODUCT(('May'!$E$7:$E$86&lt;&gt;"")*('May'!$D$7:$D$86&lt;&gt;"")*(COUNTIF(Categories,'May'!$D$7:$D$86)=0))</f>
        <v/>
      </c>
      <c r="V10">
        <f>SUMPRODUCT(('May'!$E$7:$E$86&lt;&gt;"")*('May'!$D$7:$D$86=""))</f>
        <v/>
      </c>
      <c r="W10">
        <f>IF(U10&gt;0,1,0)</f>
        <v/>
      </c>
    </row>
    <row r="11">
      <c r="T11" t="inlineStr">
        <is>
          <t>June</t>
        </is>
      </c>
      <c r="U11">
        <f>SUMPRODUCT(('June'!$E$7:$E$86&lt;&gt;"")*('June'!$D$7:$D$86&lt;&gt;"")*(COUNTIF(Categories,'June'!$D$7:$D$86)=0))</f>
        <v/>
      </c>
      <c r="V11">
        <f>SUMPRODUCT(('June'!$E$7:$E$86&lt;&gt;"")*('June'!$D$7:$D$86=""))</f>
        <v/>
      </c>
      <c r="W11">
        <f>IF(U11&gt;0,1,0)</f>
        <v/>
      </c>
    </row>
    <row r="12">
      <c r="C12" s="7" t="inlineStr">
        <is>
          <t>Ready check</t>
        </is>
      </c>
      <c r="E12" s="8" t="inlineStr">
        <is>
          <t>Updates as you type.</t>
        </is>
      </c>
      <c r="T12" t="inlineStr">
        <is>
          <t>July</t>
        </is>
      </c>
      <c r="U12">
        <f>SUMPRODUCT(('July'!$E$7:$E$86&lt;&gt;"")*('July'!$D$7:$D$86&lt;&gt;"")*(COUNTIF(Categories,'July'!$D$7:$D$86)=0))</f>
        <v/>
      </c>
      <c r="V12">
        <f>SUMPRODUCT(('July'!$E$7:$E$86&lt;&gt;"")*('July'!$D$7:$D$86=""))</f>
        <v/>
      </c>
      <c r="W12">
        <f>IF(U12&gt;0,1,0)</f>
        <v/>
      </c>
    </row>
    <row r="13" ht="22" customHeight="1">
      <c r="C13" s="9" t="inlineStr">
        <is>
          <t>Check</t>
        </is>
      </c>
      <c r="D13" s="9" t="inlineStr">
        <is>
          <t>Status</t>
        </is>
      </c>
      <c r="E13" s="9" t="inlineStr">
        <is>
          <t>What to do</t>
        </is>
      </c>
      <c r="T13" t="inlineStr">
        <is>
          <t>August</t>
        </is>
      </c>
      <c r="U13">
        <f>SUMPRODUCT(('August'!$E$7:$E$86&lt;&gt;"")*('August'!$D$7:$D$86&lt;&gt;"")*(COUNTIF(Categories,'August'!$D$7:$D$86)=0))</f>
        <v/>
      </c>
      <c r="V13">
        <f>SUMPRODUCT(('August'!$E$7:$E$86&lt;&gt;"")*('August'!$D$7:$D$86=""))</f>
        <v/>
      </c>
      <c r="W13">
        <f>IF(U13&gt;0,1,0)</f>
        <v/>
      </c>
    </row>
    <row r="14">
      <c r="C14" s="10" t="inlineStr">
        <is>
          <t>Income entered</t>
        </is>
      </c>
      <c r="D14" s="11">
        <f>IF('Setup'!$C$18&gt;0,"Done","To do")</f>
        <v/>
      </c>
      <c r="E14" s="12">
        <f>IF('Setup'!$C$18&gt;0,"","Add your take-home pay in Setup")</f>
        <v/>
      </c>
      <c r="T14" t="inlineStr">
        <is>
          <t>September</t>
        </is>
      </c>
      <c r="U14">
        <f>SUMPRODUCT(('September'!$E$7:$E$86&lt;&gt;"")*('September'!$D$7:$D$86&lt;&gt;"")*(COUNTIF(Categories,'September'!$D$7:$D$86)=0))</f>
        <v/>
      </c>
      <c r="V14">
        <f>SUMPRODUCT(('September'!$E$7:$E$86&lt;&gt;"")*('September'!$D$7:$D$86=""))</f>
        <v/>
      </c>
      <c r="W14">
        <f>IF(U14&gt;0,1,0)</f>
        <v/>
      </c>
    </row>
    <row r="15">
      <c r="C15" s="10" t="inlineStr">
        <is>
          <t>Every dollar has a job</t>
        </is>
      </c>
      <c r="D15" s="11">
        <f>IF(ROUND('Setup'!$G$41,2)=0,"Done","To do")</f>
        <v/>
      </c>
      <c r="E15" s="12">
        <f>IF(ROUND('Setup'!$G$41,2)&gt;0,"You have "&amp;TEXT('Setup'!$G$41,"$#,##0.00")&amp;" not budgeted yet",IF(ROUND('Setup'!$G$41,2)&lt;0,"Over by "&amp;TEXT(-'Setup'!$G$41,"$#,##0.00")&amp;": lower a budget",""))</f>
        <v/>
      </c>
      <c r="T15" t="inlineStr">
        <is>
          <t>October</t>
        </is>
      </c>
      <c r="U15">
        <f>SUMPRODUCT(('October'!$E$7:$E$86&lt;&gt;"")*('October'!$D$7:$D$86&lt;&gt;"")*(COUNTIF(Categories,'October'!$D$7:$D$86)=0))</f>
        <v/>
      </c>
      <c r="V15">
        <f>SUMPRODUCT(('October'!$E$7:$E$86&lt;&gt;"")*('October'!$D$7:$D$86=""))</f>
        <v/>
      </c>
      <c r="W15">
        <f>IF(U15&gt;0,1,0)</f>
        <v/>
      </c>
    </row>
    <row r="16">
      <c r="C16" s="10" t="inlineStr">
        <is>
          <t>Every category has a group</t>
        </is>
      </c>
      <c r="D16" s="11">
        <f>IF(COUNTIFS('Setup'!$E$10:$E$39,"&lt;&gt;",'Setup'!$F$10:$F$39,"")=0,"Done","To do")</f>
        <v/>
      </c>
      <c r="E16" s="12">
        <f>IF(COUNTIFS('Setup'!$E$10:$E$39,"&lt;&gt;",'Setup'!$F$10:$F$39,"")=0,"",COUNTIFS('Setup'!$E$10:$E$39,"&lt;&gt;",'Setup'!$F$10:$F$39,"")&amp;" categories need a group: pick Needs, Wants, Savings or Debt in Setup")</f>
        <v/>
      </c>
      <c r="T16" t="inlineStr">
        <is>
          <t>November</t>
        </is>
      </c>
      <c r="U16">
        <f>SUMPRODUCT(('November'!$E$7:$E$86&lt;&gt;"")*('November'!$D$7:$D$86&lt;&gt;"")*(COUNTIF(Categories,'November'!$D$7:$D$86)=0))</f>
        <v/>
      </c>
      <c r="V16">
        <f>SUMPRODUCT(('November'!$E$7:$E$86&lt;&gt;"")*('November'!$D$7:$D$86=""))</f>
        <v/>
      </c>
      <c r="W16">
        <f>IF(U16&gt;0,1,0)</f>
        <v/>
      </c>
    </row>
    <row r="17">
      <c r="C17" s="10" t="inlineStr">
        <is>
          <t>Spending matches your categories</t>
        </is>
      </c>
      <c r="D17" s="11">
        <f>IF(SUM(U6:U17)=0,"Done","To do")</f>
        <v/>
      </c>
      <c r="E17" s="12">
        <f>IF(SUM(U6:U17)=0,"",SUM(U6:U17)&amp;" entries use a category not in Setup (first in "&amp;INDEX(T6:T17,MATCH(1,W6:W17,0))&amp;"): pick their category again")</f>
        <v/>
      </c>
      <c r="T17" t="inlineStr">
        <is>
          <t>December</t>
        </is>
      </c>
      <c r="U17">
        <f>SUMPRODUCT(('December'!$E$7:$E$86&lt;&gt;"")*('December'!$D$7:$D$86&lt;&gt;"")*(COUNTIF(Categories,'December'!$D$7:$D$86)=0))</f>
        <v/>
      </c>
      <c r="V17">
        <f>SUMPRODUCT(('December'!$E$7:$E$86&lt;&gt;"")*('December'!$D$7:$D$86=""))</f>
        <v/>
      </c>
      <c r="W17">
        <f>IF(U17&gt;0,1,0)</f>
        <v/>
      </c>
    </row>
    <row r="18">
      <c r="C18" s="10" t="inlineStr">
        <is>
          <t>No amounts without a category</t>
        </is>
      </c>
      <c r="D18" s="11">
        <f>IF(SUM(V6:V17)=0,"Done","To do")</f>
        <v/>
      </c>
      <c r="E18" s="12">
        <f>IF(SUM(V6:V17)=0,"",SUM(V6:V17)&amp;" amounts have no category, so they are not counted yet")</f>
        <v/>
      </c>
    </row>
    <row r="19">
      <c r="C19" s="10" t="inlineStr">
        <is>
          <t>Example cleared</t>
        </is>
      </c>
      <c r="D19" s="11">
        <f>IF((COUNTIFS('January'!$B$7:$B$86,DATE(2027,1,3),'January'!$C$7:$C$86,"Rent",'January'!$E$7:$E$86,1200)+COUNTIFS('January'!$B$7:$B$86,DATE(2027,1,4),'January'!$C$7:$C$86,"Weekly shop",'January'!$E$7:$E$86,112.4)+COUNTIFS('January'!$B$7:$B$86,DATE(2027,1,6),'January'!$C$7:$C$86,"Bus pass",'January'!$E$7:$E$86,60)+COUNTIFS('January'!$B$7:$B$86,DATE(2027,1,9),'January'!$C$7:$C$86,"Pizza night",'January'!$E$7:$E$86,38.5)+COUNTIFS('January'!$B$7:$B$86,DATE(2027,1,11),'January'!$C$7:$C$86,"Weekly shop",'January'!$E$7:$E$86,96.2)+COUNTIFS('January'!$B$7:$B$86,DATE(2027,1,14),'January'!$C$7:$C$86,"Phone bill",'January'!$E$7:$E$86,55)+COUNTIFS('January'!$B$7:$B$86,DATE(2027,1,15),'January'!$C$7:$C$86,"To emergency fund",'January'!$E$7:$E$86,200)+COUNTIFS('January'!$B$7:$B$86,DATE(2027,1,18),'January'!$C$7:$C$86,"Streaming",'January'!$E$7:$E$86,15.99)+COUNTIFS('January'!$B$7:$B$86,DATE(2027,1,21),'January'!$C$7:$C$86,"Card payment",'January'!$E$7:$E$86,150)+COUNTIFS('January'!$B$7:$B$86,DATE(2027,1,24),'January'!$C$7:$C$86,"Concert tickets",'January'!$E$7:$E$86,120)+COUNTIFS('January'!$B$7:$B$86,DATE(2027,1,25),'January'!$C$7:$C$86,"Shoes",'January'!$E$7:$E$86,64))=0,"Done","To do")</f>
        <v/>
      </c>
      <c r="E19" s="12">
        <f>IF((COUNTIFS('January'!$B$7:$B$86,DATE(2027,1,3),'January'!$C$7:$C$86,"Rent",'January'!$E$7:$E$86,1200)+COUNTIFS('January'!$B$7:$B$86,DATE(2027,1,4),'January'!$C$7:$C$86,"Weekly shop",'January'!$E$7:$E$86,112.4)+COUNTIFS('January'!$B$7:$B$86,DATE(2027,1,6),'January'!$C$7:$C$86,"Bus pass",'January'!$E$7:$E$86,60)+COUNTIFS('January'!$B$7:$B$86,DATE(2027,1,9),'January'!$C$7:$C$86,"Pizza night",'January'!$E$7:$E$86,38.5)+COUNTIFS('January'!$B$7:$B$86,DATE(2027,1,11),'January'!$C$7:$C$86,"Weekly shop",'January'!$E$7:$E$86,96.2)+COUNTIFS('January'!$B$7:$B$86,DATE(2027,1,14),'January'!$C$7:$C$86,"Phone bill",'January'!$E$7:$E$86,55)+COUNTIFS('January'!$B$7:$B$86,DATE(2027,1,15),'January'!$C$7:$C$86,"To emergency fund",'January'!$E$7:$E$86,200)+COUNTIFS('January'!$B$7:$B$86,DATE(2027,1,18),'January'!$C$7:$C$86,"Streaming",'January'!$E$7:$E$86,15.99)+COUNTIFS('January'!$B$7:$B$86,DATE(2027,1,21),'January'!$C$7:$C$86,"Card payment",'January'!$E$7:$E$86,150)+COUNTIFS('January'!$B$7:$B$86,DATE(2027,1,24),'January'!$C$7:$C$86,"Concert tickets",'January'!$E$7:$E$86,120)+COUNTIFS('January'!$B$7:$B$86,DATE(2027,1,25),'January'!$C$7:$C$86,"Shoes",'January'!$E$7:$E$86,64))=0,"","Clear the example in January (step 2)")</f>
        <v/>
      </c>
    </row>
    <row r="20">
      <c r="C20" s="10" t="inlineStr">
        <is>
          <t>Your split (info, not pass or fail)</t>
        </is>
      </c>
      <c r="D20" s="11" t="inlineStr">
        <is>
          <t>Info</t>
        </is>
      </c>
      <c r="E20" s="12">
        <f>IF('Setup'!$G$40=0,"",TEXT(SUMIF('Setup'!$F$10:$F$39,"Needs",'Setup'!$G$10:$G$39)/'Setup'!$G$40,"0%")&amp;" needs, "&amp;TEXT(SUMIF('Setup'!$F$10:$F$39,"Wants",'Setup'!$G$10:$G$39)/'Setup'!$G$40,"0%")&amp;" wants, "&amp;TEXT((SUMIF('Setup'!$F$10:$F$39,"Savings",'Setup'!$G$10:$G$39)+SUMIF('Setup'!$F$10:$F$39,"Debt",'Setup'!$G$10:$G$39))/'Setup'!$G$40,"0%")&amp;" savings and debt (50/30/20 guide)")</f>
        <v/>
      </c>
    </row>
    <row r="22">
      <c r="C22" s="13" t="inlineStr">
        <is>
          <t>Jump to a month</t>
        </is>
      </c>
    </row>
    <row r="23">
      <c r="C23" s="14" t="inlineStr">
        <is>
          <t>January</t>
        </is>
      </c>
      <c r="D23" s="14" t="inlineStr">
        <is>
          <t>February</t>
        </is>
      </c>
      <c r="E23" s="14" t="inlineStr">
        <is>
          <t>March</t>
        </is>
      </c>
    </row>
    <row r="24">
      <c r="C24" s="14" t="inlineStr">
        <is>
          <t>April</t>
        </is>
      </c>
      <c r="D24" s="14" t="inlineStr">
        <is>
          <t>May</t>
        </is>
      </c>
      <c r="E24" s="14" t="inlineStr">
        <is>
          <t>June</t>
        </is>
      </c>
    </row>
    <row r="25">
      <c r="C25" s="14" t="inlineStr">
        <is>
          <t>July</t>
        </is>
      </c>
      <c r="D25" s="14" t="inlineStr">
        <is>
          <t>August</t>
        </is>
      </c>
      <c r="E25" s="14" t="inlineStr">
        <is>
          <t>September</t>
        </is>
      </c>
    </row>
    <row r="26">
      <c r="C26" s="14" t="inlineStr">
        <is>
          <t>October</t>
        </is>
      </c>
      <c r="D26" s="14" t="inlineStr">
        <is>
          <t>November</t>
        </is>
      </c>
      <c r="E26" s="14" t="inlineStr">
        <is>
          <t>December</t>
        </is>
      </c>
    </row>
    <row r="28">
      <c r="C28" s="13" t="inlineStr">
        <is>
          <t>If something looks wrong</t>
        </is>
      </c>
    </row>
    <row r="29" ht="30" customHeight="1">
      <c r="C29" s="12" t="inlineStr">
        <is>
          <t>A month total looks too low: check the Ready check for amounts without a category or with a category not in Setup.</t>
        </is>
      </c>
    </row>
    <row r="30" ht="30" customHeight="1">
      <c r="C30" s="12" t="inlineStr">
        <is>
          <t>A category is missing from the dropdown: add it in Setup (any empty row); it appears in every month.</t>
        </is>
      </c>
    </row>
    <row r="31" ht="15" customHeight="1">
      <c r="C31" s="12" t="inlineStr">
        <is>
          <t>I typed over a formula: Edit &gt; Undo, or File &gt; Version history in Google Sheets.</t>
        </is>
      </c>
    </row>
    <row r="32" ht="30" customHeight="1">
      <c r="C32" s="12" t="inlineStr">
        <is>
          <t>Amounts show $ but I use another currency: unprotect the tab (no password) and change the number format.</t>
        </is>
      </c>
    </row>
    <row r="34">
      <c r="C34" s="13" t="inlineStr">
        <is>
          <t>Colour key</t>
        </is>
      </c>
    </row>
    <row r="35">
      <c r="C35" s="15" t="inlineStr">
        <is>
          <t>Type here</t>
        </is>
      </c>
      <c r="E35" s="16" t="inlineStr">
        <is>
          <t>Shaded cells are yours to fill in.</t>
        </is>
      </c>
    </row>
    <row r="36">
      <c r="C36" s="17" t="inlineStr">
        <is>
          <t>Calculated</t>
        </is>
      </c>
      <c r="E36" s="16" t="inlineStr">
        <is>
          <t>Plain cells hold formulas.</t>
        </is>
      </c>
    </row>
    <row r="38" ht="60" customHeight="1">
      <c r="C38" s="18" t="inlineStr">
        <is>
          <t>Tip</t>
        </is>
      </c>
      <c r="D38" s="12" t="inlineStr">
        <is>
          <t>Shaded cells are for typing. Plain cells hold formulas. In Excel they are locked; to change one use Review &gt; Unprotect Sheet (there is no password). In Google Sheets, if you type over a formula, Edit &gt; Undo or File &gt; Version history brings it back.</t>
        </is>
      </c>
    </row>
  </sheetData>
  <sheetProtection selectLockedCells="0" selectUnlockedCells="0" sheet="1" objects="0" insertRows="0" insertHyperlinks="1" autoFilter="0" scenarios="0" formatColumns="0" deleteColumns="1" insertColumns="1" pivotTables="1" deleteRows="1" formatCells="1" formatRows="0" sort="0"/>
  <mergeCells count="10">
    <mergeCell ref="D8:E8"/>
    <mergeCell ref="D6:E6"/>
    <mergeCell ref="D10:E10"/>
    <mergeCell ref="D7:E7"/>
    <mergeCell ref="C31:E31"/>
    <mergeCell ref="D38:E38"/>
    <mergeCell ref="C29:E29"/>
    <mergeCell ref="C30:E30"/>
    <mergeCell ref="D9:E9"/>
    <mergeCell ref="C32:E32"/>
  </mergeCells>
  <conditionalFormatting sqref="D14:D20">
    <cfRule type="expression" priority="1" dxfId="0">
      <formula>D14="Done"</formula>
    </cfRule>
    <cfRule type="expression" priority="2" dxfId="1">
      <formula>D14="To do"</formula>
    </cfRule>
  </conditionalFormatting>
  <hyperlinks>
    <hyperlink ref="C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 ref="C23" location="'January'!A1" display="January"/>
    <hyperlink ref="D23" location="'February'!A1" display="February"/>
    <hyperlink ref="E23" location="'March'!A1" display="March"/>
    <hyperlink ref="C24" location="'April'!A1" display="April"/>
    <hyperlink ref="D24" location="'May'!A1" display="May"/>
    <hyperlink ref="E24" location="'June'!A1" display="June"/>
    <hyperlink ref="C25" location="'July'!A1" display="July"/>
    <hyperlink ref="D25" location="'August'!A1" display="August"/>
    <hyperlink ref="E25" location="'September'!A1" display="September"/>
    <hyperlink ref="C26" location="'October'!A1" display="October"/>
    <hyperlink ref="D26" location="'November'!A1" display="November"/>
    <hyperlink ref="E26" location="'December'!A1" display="December"/>
  </hyperlinks>
  <printOptions gridLines="0"/>
  <pageMargins left="0.75" right="0.75" top="1" bottom="1" header="0.5" footer="0.5"/>
  <pageSetup orientation="landscape" fitToHeight="1" fitToWidth="1"/>
</worksheet>
</file>

<file path=xl/worksheets/sheet2.xml><?xml version="1.0" encoding="utf-8"?>
<worksheet xmlns="http://schemas.openxmlformats.org/spreadsheetml/2006/main">
  <sheetPr>
    <tabColor rgb="002F6F5E"/>
    <outlinePr summaryBelow="1" summaryRight="1"/>
    <pageSetUpPr fitToPage="1"/>
  </sheetPr>
  <dimension ref="B2:J36"/>
  <sheetViews>
    <sheetView showGridLines="0" workbookViewId="0">
      <pane ySplit="4" topLeftCell="A5" activePane="bottomLeft" state="frozen"/>
      <selection pane="bottomLeft" activeCell="A1" sqref="A1"/>
    </sheetView>
  </sheetViews>
  <sheetFormatPr baseColWidth="8" defaultRowHeight="15"/>
  <cols>
    <col width="3" customWidth="1" min="1" max="1"/>
    <col width="25" customWidth="1" min="2" max="2"/>
    <col width="14" customWidth="1" min="3" max="3"/>
    <col width="14" customWidth="1" min="4" max="4"/>
    <col width="14" customWidth="1" min="5" max="5"/>
    <col width="16" customWidth="1" min="6" max="6"/>
    <col width="14" customWidth="1" min="7" max="7"/>
    <col width="24" customWidth="1" min="8" max="8"/>
    <col width="16" customWidth="1" min="9" max="9"/>
    <col hidden="1"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Dashboard</t>
        </is>
      </c>
    </row>
    <row r="3">
      <c r="B3" s="2" t="inlineStr">
        <is>
          <t>Your year at a glance. Nothing to type here.</t>
        </is>
      </c>
    </row>
    <row r="4">
      <c r="B4" s="3" t="inlineStr">
        <is>
          <t>Start here</t>
        </is>
      </c>
      <c r="C4" s="3" t="inlineStr">
        <is>
          <t>Dashboard</t>
        </is>
      </c>
      <c r="D4" s="3" t="inlineStr">
        <is>
          <t>Setup</t>
        </is>
      </c>
      <c r="E4" s="3" t="inlineStr">
        <is>
          <t>Months</t>
        </is>
      </c>
      <c r="F4" s="3" t="inlineStr">
        <is>
          <t>Bills</t>
        </is>
      </c>
      <c r="G4" s="3" t="inlineStr">
        <is>
          <t>Paycheck</t>
        </is>
      </c>
      <c r="H4" s="3" t="inlineStr">
        <is>
          <t>Debt</t>
        </is>
      </c>
      <c r="I4" s="3" t="inlineStr">
        <is>
          <t>Savings</t>
        </is>
      </c>
    </row>
    <row r="6" ht="22" customHeight="1">
      <c r="B6" s="9" t="inlineStr">
        <is>
          <t>Month</t>
        </is>
      </c>
      <c r="C6" s="9" t="inlineStr">
        <is>
          <t>Income</t>
        </is>
      </c>
      <c r="D6" s="9" t="inlineStr">
        <is>
          <t>Spent</t>
        </is>
      </c>
      <c r="E6" s="9" t="inlineStr">
        <is>
          <t>Left over</t>
        </is>
      </c>
      <c r="F6" s="9" t="inlineStr">
        <is>
          <t>Saved and debt paid</t>
        </is>
      </c>
      <c r="H6" s="9" t="inlineStr">
        <is>
          <t>Category</t>
        </is>
      </c>
      <c r="I6" s="9" t="inlineStr">
        <is>
          <t>Spent this year</t>
        </is>
      </c>
    </row>
    <row r="7">
      <c r="B7" s="19" t="inlineStr">
        <is>
          <t>January</t>
        </is>
      </c>
      <c r="C7" s="20">
        <f>IF(COUNT('January'!$E$7:$E$86)&gt;0,'January'!H6,"")</f>
        <v/>
      </c>
      <c r="D7" s="20">
        <f>IF(COUNT('January'!$E$7:$E$86)&gt;0,'January'!H7,"")</f>
        <v/>
      </c>
      <c r="E7" s="20">
        <f>IF(COUNT('January'!$E$7:$E$86)&gt;0,'January'!H8,"")</f>
        <v/>
      </c>
      <c r="F7" s="20">
        <f>IF(COUNT('January'!$E$7:$E$86)&gt;0,'January'!H9,"")</f>
        <v/>
      </c>
      <c r="H7" s="10">
        <f>IF('Setup'!E10="","",'Setup'!E10)</f>
        <v/>
      </c>
      <c r="I7" s="20">
        <f>IF(H7="","",SUMIFS('January'!$E$7:$E$86,'January'!$D$7:$D$86,H7)+SUMIFS('February'!$E$7:$E$86,'February'!$D$7:$D$86,H7)+SUMIFS('March'!$E$7:$E$86,'March'!$D$7:$D$86,H7)+SUMIFS('April'!$E$7:$E$86,'April'!$D$7:$D$86,H7)+SUMIFS('May'!$E$7:$E$86,'May'!$D$7:$D$86,H7)+SUMIFS('June'!$E$7:$E$86,'June'!$D$7:$D$86,H7)+SUMIFS('July'!$E$7:$E$86,'July'!$D$7:$D$86,H7)+SUMIFS('August'!$E$7:$E$86,'August'!$D$7:$D$86,H7)+SUMIFS('September'!$E$7:$E$86,'September'!$D$7:$D$86,H7)+SUMIFS('October'!$E$7:$E$86,'October'!$D$7:$D$86,H7)+SUMIFS('November'!$E$7:$E$86,'November'!$D$7:$D$86,H7)+SUMIFS('December'!$E$7:$E$86,'December'!$D$7:$D$86,H7))</f>
        <v/>
      </c>
      <c r="J7" s="10">
        <f>IF(H7="","",'Setup'!F10)</f>
        <v/>
      </c>
    </row>
    <row r="8">
      <c r="B8" s="19" t="inlineStr">
        <is>
          <t>February</t>
        </is>
      </c>
      <c r="C8" s="20">
        <f>IF(COUNT('February'!$E$7:$E$86)&gt;0,'February'!H6,"")</f>
        <v/>
      </c>
      <c r="D8" s="20">
        <f>IF(COUNT('February'!$E$7:$E$86)&gt;0,'February'!H7,"")</f>
        <v/>
      </c>
      <c r="E8" s="20">
        <f>IF(COUNT('February'!$E$7:$E$86)&gt;0,'February'!H8,"")</f>
        <v/>
      </c>
      <c r="F8" s="20">
        <f>IF(COUNT('February'!$E$7:$E$86)&gt;0,'February'!H9,"")</f>
        <v/>
      </c>
      <c r="H8" s="10">
        <f>IF('Setup'!E11="","",'Setup'!E11)</f>
        <v/>
      </c>
      <c r="I8" s="20">
        <f>IF(H8="","",SUMIFS('January'!$E$7:$E$86,'January'!$D$7:$D$86,H8)+SUMIFS('February'!$E$7:$E$86,'February'!$D$7:$D$86,H8)+SUMIFS('March'!$E$7:$E$86,'March'!$D$7:$D$86,H8)+SUMIFS('April'!$E$7:$E$86,'April'!$D$7:$D$86,H8)+SUMIFS('May'!$E$7:$E$86,'May'!$D$7:$D$86,H8)+SUMIFS('June'!$E$7:$E$86,'June'!$D$7:$D$86,H8)+SUMIFS('July'!$E$7:$E$86,'July'!$D$7:$D$86,H8)+SUMIFS('August'!$E$7:$E$86,'August'!$D$7:$D$86,H8)+SUMIFS('September'!$E$7:$E$86,'September'!$D$7:$D$86,H8)+SUMIFS('October'!$E$7:$E$86,'October'!$D$7:$D$86,H8)+SUMIFS('November'!$E$7:$E$86,'November'!$D$7:$D$86,H8)+SUMIFS('December'!$E$7:$E$86,'December'!$D$7:$D$86,H8))</f>
        <v/>
      </c>
      <c r="J8" s="10">
        <f>IF(H8="","",'Setup'!F11)</f>
        <v/>
      </c>
    </row>
    <row r="9">
      <c r="B9" s="19" t="inlineStr">
        <is>
          <t>March</t>
        </is>
      </c>
      <c r="C9" s="20">
        <f>IF(COUNT('March'!$E$7:$E$86)&gt;0,'March'!H6,"")</f>
        <v/>
      </c>
      <c r="D9" s="20">
        <f>IF(COUNT('March'!$E$7:$E$86)&gt;0,'March'!H7,"")</f>
        <v/>
      </c>
      <c r="E9" s="20">
        <f>IF(COUNT('March'!$E$7:$E$86)&gt;0,'March'!H8,"")</f>
        <v/>
      </c>
      <c r="F9" s="20">
        <f>IF(COUNT('March'!$E$7:$E$86)&gt;0,'March'!H9,"")</f>
        <v/>
      </c>
      <c r="H9" s="10">
        <f>IF('Setup'!E12="","",'Setup'!E12)</f>
        <v/>
      </c>
      <c r="I9" s="20">
        <f>IF(H9="","",SUMIFS('January'!$E$7:$E$86,'January'!$D$7:$D$86,H9)+SUMIFS('February'!$E$7:$E$86,'February'!$D$7:$D$86,H9)+SUMIFS('March'!$E$7:$E$86,'March'!$D$7:$D$86,H9)+SUMIFS('April'!$E$7:$E$86,'April'!$D$7:$D$86,H9)+SUMIFS('May'!$E$7:$E$86,'May'!$D$7:$D$86,H9)+SUMIFS('June'!$E$7:$E$86,'June'!$D$7:$D$86,H9)+SUMIFS('July'!$E$7:$E$86,'July'!$D$7:$D$86,H9)+SUMIFS('August'!$E$7:$E$86,'August'!$D$7:$D$86,H9)+SUMIFS('September'!$E$7:$E$86,'September'!$D$7:$D$86,H9)+SUMIFS('October'!$E$7:$E$86,'October'!$D$7:$D$86,H9)+SUMIFS('November'!$E$7:$E$86,'November'!$D$7:$D$86,H9)+SUMIFS('December'!$E$7:$E$86,'December'!$D$7:$D$86,H9))</f>
        <v/>
      </c>
      <c r="J9" s="10">
        <f>IF(H9="","",'Setup'!F12)</f>
        <v/>
      </c>
    </row>
    <row r="10">
      <c r="B10" s="19" t="inlineStr">
        <is>
          <t>April</t>
        </is>
      </c>
      <c r="C10" s="20">
        <f>IF(COUNT('April'!$E$7:$E$86)&gt;0,'April'!H6,"")</f>
        <v/>
      </c>
      <c r="D10" s="20">
        <f>IF(COUNT('April'!$E$7:$E$86)&gt;0,'April'!H7,"")</f>
        <v/>
      </c>
      <c r="E10" s="20">
        <f>IF(COUNT('April'!$E$7:$E$86)&gt;0,'April'!H8,"")</f>
        <v/>
      </c>
      <c r="F10" s="20">
        <f>IF(COUNT('April'!$E$7:$E$86)&gt;0,'April'!H9,"")</f>
        <v/>
      </c>
      <c r="H10" s="10">
        <f>IF('Setup'!E13="","",'Setup'!E13)</f>
        <v/>
      </c>
      <c r="I10" s="20">
        <f>IF(H10="","",SUMIFS('January'!$E$7:$E$86,'January'!$D$7:$D$86,H10)+SUMIFS('February'!$E$7:$E$86,'February'!$D$7:$D$86,H10)+SUMIFS('March'!$E$7:$E$86,'March'!$D$7:$D$86,H10)+SUMIFS('April'!$E$7:$E$86,'April'!$D$7:$D$86,H10)+SUMIFS('May'!$E$7:$E$86,'May'!$D$7:$D$86,H10)+SUMIFS('June'!$E$7:$E$86,'June'!$D$7:$D$86,H10)+SUMIFS('July'!$E$7:$E$86,'July'!$D$7:$D$86,H10)+SUMIFS('August'!$E$7:$E$86,'August'!$D$7:$D$86,H10)+SUMIFS('September'!$E$7:$E$86,'September'!$D$7:$D$86,H10)+SUMIFS('October'!$E$7:$E$86,'October'!$D$7:$D$86,H10)+SUMIFS('November'!$E$7:$E$86,'November'!$D$7:$D$86,H10)+SUMIFS('December'!$E$7:$E$86,'December'!$D$7:$D$86,H10))</f>
        <v/>
      </c>
      <c r="J10" s="10">
        <f>IF(H10="","",'Setup'!F13)</f>
        <v/>
      </c>
    </row>
    <row r="11">
      <c r="B11" s="19" t="inlineStr">
        <is>
          <t>May</t>
        </is>
      </c>
      <c r="C11" s="20">
        <f>IF(COUNT('May'!$E$7:$E$86)&gt;0,'May'!H6,"")</f>
        <v/>
      </c>
      <c r="D11" s="20">
        <f>IF(COUNT('May'!$E$7:$E$86)&gt;0,'May'!H7,"")</f>
        <v/>
      </c>
      <c r="E11" s="20">
        <f>IF(COUNT('May'!$E$7:$E$86)&gt;0,'May'!H8,"")</f>
        <v/>
      </c>
      <c r="F11" s="20">
        <f>IF(COUNT('May'!$E$7:$E$86)&gt;0,'May'!H9,"")</f>
        <v/>
      </c>
      <c r="H11" s="10">
        <f>IF('Setup'!E14="","",'Setup'!E14)</f>
        <v/>
      </c>
      <c r="I11" s="20">
        <f>IF(H11="","",SUMIFS('January'!$E$7:$E$86,'January'!$D$7:$D$86,H11)+SUMIFS('February'!$E$7:$E$86,'February'!$D$7:$D$86,H11)+SUMIFS('March'!$E$7:$E$86,'March'!$D$7:$D$86,H11)+SUMIFS('April'!$E$7:$E$86,'April'!$D$7:$D$86,H11)+SUMIFS('May'!$E$7:$E$86,'May'!$D$7:$D$86,H11)+SUMIFS('June'!$E$7:$E$86,'June'!$D$7:$D$86,H11)+SUMIFS('July'!$E$7:$E$86,'July'!$D$7:$D$86,H11)+SUMIFS('August'!$E$7:$E$86,'August'!$D$7:$D$86,H11)+SUMIFS('September'!$E$7:$E$86,'September'!$D$7:$D$86,H11)+SUMIFS('October'!$E$7:$E$86,'October'!$D$7:$D$86,H11)+SUMIFS('November'!$E$7:$E$86,'November'!$D$7:$D$86,H11)+SUMIFS('December'!$E$7:$E$86,'December'!$D$7:$D$86,H11))</f>
        <v/>
      </c>
      <c r="J11" s="10">
        <f>IF(H11="","",'Setup'!F14)</f>
        <v/>
      </c>
    </row>
    <row r="12">
      <c r="B12" s="19" t="inlineStr">
        <is>
          <t>June</t>
        </is>
      </c>
      <c r="C12" s="20">
        <f>IF(COUNT('June'!$E$7:$E$86)&gt;0,'June'!H6,"")</f>
        <v/>
      </c>
      <c r="D12" s="20">
        <f>IF(COUNT('June'!$E$7:$E$86)&gt;0,'June'!H7,"")</f>
        <v/>
      </c>
      <c r="E12" s="20">
        <f>IF(COUNT('June'!$E$7:$E$86)&gt;0,'June'!H8,"")</f>
        <v/>
      </c>
      <c r="F12" s="20">
        <f>IF(COUNT('June'!$E$7:$E$86)&gt;0,'June'!H9,"")</f>
        <v/>
      </c>
      <c r="H12" s="10">
        <f>IF('Setup'!E15="","",'Setup'!E15)</f>
        <v/>
      </c>
      <c r="I12" s="20">
        <f>IF(H12="","",SUMIFS('January'!$E$7:$E$86,'January'!$D$7:$D$86,H12)+SUMIFS('February'!$E$7:$E$86,'February'!$D$7:$D$86,H12)+SUMIFS('March'!$E$7:$E$86,'March'!$D$7:$D$86,H12)+SUMIFS('April'!$E$7:$E$86,'April'!$D$7:$D$86,H12)+SUMIFS('May'!$E$7:$E$86,'May'!$D$7:$D$86,H12)+SUMIFS('June'!$E$7:$E$86,'June'!$D$7:$D$86,H12)+SUMIFS('July'!$E$7:$E$86,'July'!$D$7:$D$86,H12)+SUMIFS('August'!$E$7:$E$86,'August'!$D$7:$D$86,H12)+SUMIFS('September'!$E$7:$E$86,'September'!$D$7:$D$86,H12)+SUMIFS('October'!$E$7:$E$86,'October'!$D$7:$D$86,H12)+SUMIFS('November'!$E$7:$E$86,'November'!$D$7:$D$86,H12)+SUMIFS('December'!$E$7:$E$86,'December'!$D$7:$D$86,H12))</f>
        <v/>
      </c>
      <c r="J12" s="10">
        <f>IF(H12="","",'Setup'!F15)</f>
        <v/>
      </c>
    </row>
    <row r="13">
      <c r="B13" s="19" t="inlineStr">
        <is>
          <t>July</t>
        </is>
      </c>
      <c r="C13" s="20">
        <f>IF(COUNT('July'!$E$7:$E$86)&gt;0,'July'!H6,"")</f>
        <v/>
      </c>
      <c r="D13" s="20">
        <f>IF(COUNT('July'!$E$7:$E$86)&gt;0,'July'!H7,"")</f>
        <v/>
      </c>
      <c r="E13" s="20">
        <f>IF(COUNT('July'!$E$7:$E$86)&gt;0,'July'!H8,"")</f>
        <v/>
      </c>
      <c r="F13" s="20">
        <f>IF(COUNT('July'!$E$7:$E$86)&gt;0,'July'!H9,"")</f>
        <v/>
      </c>
      <c r="H13" s="10">
        <f>IF('Setup'!E16="","",'Setup'!E16)</f>
        <v/>
      </c>
      <c r="I13" s="20">
        <f>IF(H13="","",SUMIFS('January'!$E$7:$E$86,'January'!$D$7:$D$86,H13)+SUMIFS('February'!$E$7:$E$86,'February'!$D$7:$D$86,H13)+SUMIFS('March'!$E$7:$E$86,'March'!$D$7:$D$86,H13)+SUMIFS('April'!$E$7:$E$86,'April'!$D$7:$D$86,H13)+SUMIFS('May'!$E$7:$E$86,'May'!$D$7:$D$86,H13)+SUMIFS('June'!$E$7:$E$86,'June'!$D$7:$D$86,H13)+SUMIFS('July'!$E$7:$E$86,'July'!$D$7:$D$86,H13)+SUMIFS('August'!$E$7:$E$86,'August'!$D$7:$D$86,H13)+SUMIFS('September'!$E$7:$E$86,'September'!$D$7:$D$86,H13)+SUMIFS('October'!$E$7:$E$86,'October'!$D$7:$D$86,H13)+SUMIFS('November'!$E$7:$E$86,'November'!$D$7:$D$86,H13)+SUMIFS('December'!$E$7:$E$86,'December'!$D$7:$D$86,H13))</f>
        <v/>
      </c>
      <c r="J13" s="10">
        <f>IF(H13="","",'Setup'!F16)</f>
        <v/>
      </c>
    </row>
    <row r="14">
      <c r="B14" s="19" t="inlineStr">
        <is>
          <t>August</t>
        </is>
      </c>
      <c r="C14" s="20">
        <f>IF(COUNT('August'!$E$7:$E$86)&gt;0,'August'!H6,"")</f>
        <v/>
      </c>
      <c r="D14" s="20">
        <f>IF(COUNT('August'!$E$7:$E$86)&gt;0,'August'!H7,"")</f>
        <v/>
      </c>
      <c r="E14" s="20">
        <f>IF(COUNT('August'!$E$7:$E$86)&gt;0,'August'!H8,"")</f>
        <v/>
      </c>
      <c r="F14" s="20">
        <f>IF(COUNT('August'!$E$7:$E$86)&gt;0,'August'!H9,"")</f>
        <v/>
      </c>
      <c r="H14" s="10">
        <f>IF('Setup'!E17="","",'Setup'!E17)</f>
        <v/>
      </c>
      <c r="I14" s="20">
        <f>IF(H14="","",SUMIFS('January'!$E$7:$E$86,'January'!$D$7:$D$86,H14)+SUMIFS('February'!$E$7:$E$86,'February'!$D$7:$D$86,H14)+SUMIFS('March'!$E$7:$E$86,'March'!$D$7:$D$86,H14)+SUMIFS('April'!$E$7:$E$86,'April'!$D$7:$D$86,H14)+SUMIFS('May'!$E$7:$E$86,'May'!$D$7:$D$86,H14)+SUMIFS('June'!$E$7:$E$86,'June'!$D$7:$D$86,H14)+SUMIFS('July'!$E$7:$E$86,'July'!$D$7:$D$86,H14)+SUMIFS('August'!$E$7:$E$86,'August'!$D$7:$D$86,H14)+SUMIFS('September'!$E$7:$E$86,'September'!$D$7:$D$86,H14)+SUMIFS('October'!$E$7:$E$86,'October'!$D$7:$D$86,H14)+SUMIFS('November'!$E$7:$E$86,'November'!$D$7:$D$86,H14)+SUMIFS('December'!$E$7:$E$86,'December'!$D$7:$D$86,H14))</f>
        <v/>
      </c>
      <c r="J14" s="10">
        <f>IF(H14="","",'Setup'!F17)</f>
        <v/>
      </c>
    </row>
    <row r="15">
      <c r="B15" s="19" t="inlineStr">
        <is>
          <t>September</t>
        </is>
      </c>
      <c r="C15" s="20">
        <f>IF(COUNT('September'!$E$7:$E$86)&gt;0,'September'!H6,"")</f>
        <v/>
      </c>
      <c r="D15" s="20">
        <f>IF(COUNT('September'!$E$7:$E$86)&gt;0,'September'!H7,"")</f>
        <v/>
      </c>
      <c r="E15" s="20">
        <f>IF(COUNT('September'!$E$7:$E$86)&gt;0,'September'!H8,"")</f>
        <v/>
      </c>
      <c r="F15" s="20">
        <f>IF(COUNT('September'!$E$7:$E$86)&gt;0,'September'!H9,"")</f>
        <v/>
      </c>
      <c r="H15" s="10">
        <f>IF('Setup'!E18="","",'Setup'!E18)</f>
        <v/>
      </c>
      <c r="I15" s="20">
        <f>IF(H15="","",SUMIFS('January'!$E$7:$E$86,'January'!$D$7:$D$86,H15)+SUMIFS('February'!$E$7:$E$86,'February'!$D$7:$D$86,H15)+SUMIFS('March'!$E$7:$E$86,'March'!$D$7:$D$86,H15)+SUMIFS('April'!$E$7:$E$86,'April'!$D$7:$D$86,H15)+SUMIFS('May'!$E$7:$E$86,'May'!$D$7:$D$86,H15)+SUMIFS('June'!$E$7:$E$86,'June'!$D$7:$D$86,H15)+SUMIFS('July'!$E$7:$E$86,'July'!$D$7:$D$86,H15)+SUMIFS('August'!$E$7:$E$86,'August'!$D$7:$D$86,H15)+SUMIFS('September'!$E$7:$E$86,'September'!$D$7:$D$86,H15)+SUMIFS('October'!$E$7:$E$86,'October'!$D$7:$D$86,H15)+SUMIFS('November'!$E$7:$E$86,'November'!$D$7:$D$86,H15)+SUMIFS('December'!$E$7:$E$86,'December'!$D$7:$D$86,H15))</f>
        <v/>
      </c>
      <c r="J15" s="10">
        <f>IF(H15="","",'Setup'!F18)</f>
        <v/>
      </c>
    </row>
    <row r="16">
      <c r="B16" s="19" t="inlineStr">
        <is>
          <t>October</t>
        </is>
      </c>
      <c r="C16" s="20">
        <f>IF(COUNT('October'!$E$7:$E$86)&gt;0,'October'!H6,"")</f>
        <v/>
      </c>
      <c r="D16" s="20">
        <f>IF(COUNT('October'!$E$7:$E$86)&gt;0,'October'!H7,"")</f>
        <v/>
      </c>
      <c r="E16" s="20">
        <f>IF(COUNT('October'!$E$7:$E$86)&gt;0,'October'!H8,"")</f>
        <v/>
      </c>
      <c r="F16" s="20">
        <f>IF(COUNT('October'!$E$7:$E$86)&gt;0,'October'!H9,"")</f>
        <v/>
      </c>
      <c r="H16" s="10">
        <f>IF('Setup'!E19="","",'Setup'!E19)</f>
        <v/>
      </c>
      <c r="I16" s="20">
        <f>IF(H16="","",SUMIFS('January'!$E$7:$E$86,'January'!$D$7:$D$86,H16)+SUMIFS('February'!$E$7:$E$86,'February'!$D$7:$D$86,H16)+SUMIFS('March'!$E$7:$E$86,'March'!$D$7:$D$86,H16)+SUMIFS('April'!$E$7:$E$86,'April'!$D$7:$D$86,H16)+SUMIFS('May'!$E$7:$E$86,'May'!$D$7:$D$86,H16)+SUMIFS('June'!$E$7:$E$86,'June'!$D$7:$D$86,H16)+SUMIFS('July'!$E$7:$E$86,'July'!$D$7:$D$86,H16)+SUMIFS('August'!$E$7:$E$86,'August'!$D$7:$D$86,H16)+SUMIFS('September'!$E$7:$E$86,'September'!$D$7:$D$86,H16)+SUMIFS('October'!$E$7:$E$86,'October'!$D$7:$D$86,H16)+SUMIFS('November'!$E$7:$E$86,'November'!$D$7:$D$86,H16)+SUMIFS('December'!$E$7:$E$86,'December'!$D$7:$D$86,H16))</f>
        <v/>
      </c>
      <c r="J16" s="10">
        <f>IF(H16="","",'Setup'!F19)</f>
        <v/>
      </c>
    </row>
    <row r="17">
      <c r="B17" s="19" t="inlineStr">
        <is>
          <t>November</t>
        </is>
      </c>
      <c r="C17" s="20">
        <f>IF(COUNT('November'!$E$7:$E$86)&gt;0,'November'!H6,"")</f>
        <v/>
      </c>
      <c r="D17" s="20">
        <f>IF(COUNT('November'!$E$7:$E$86)&gt;0,'November'!H7,"")</f>
        <v/>
      </c>
      <c r="E17" s="20">
        <f>IF(COUNT('November'!$E$7:$E$86)&gt;0,'November'!H8,"")</f>
        <v/>
      </c>
      <c r="F17" s="20">
        <f>IF(COUNT('November'!$E$7:$E$86)&gt;0,'November'!H9,"")</f>
        <v/>
      </c>
      <c r="H17" s="10">
        <f>IF('Setup'!E20="","",'Setup'!E20)</f>
        <v/>
      </c>
      <c r="I17" s="20">
        <f>IF(H17="","",SUMIFS('January'!$E$7:$E$86,'January'!$D$7:$D$86,H17)+SUMIFS('February'!$E$7:$E$86,'February'!$D$7:$D$86,H17)+SUMIFS('March'!$E$7:$E$86,'March'!$D$7:$D$86,H17)+SUMIFS('April'!$E$7:$E$86,'April'!$D$7:$D$86,H17)+SUMIFS('May'!$E$7:$E$86,'May'!$D$7:$D$86,H17)+SUMIFS('June'!$E$7:$E$86,'June'!$D$7:$D$86,H17)+SUMIFS('July'!$E$7:$E$86,'July'!$D$7:$D$86,H17)+SUMIFS('August'!$E$7:$E$86,'August'!$D$7:$D$86,H17)+SUMIFS('September'!$E$7:$E$86,'September'!$D$7:$D$86,H17)+SUMIFS('October'!$E$7:$E$86,'October'!$D$7:$D$86,H17)+SUMIFS('November'!$E$7:$E$86,'November'!$D$7:$D$86,H17)+SUMIFS('December'!$E$7:$E$86,'December'!$D$7:$D$86,H17))</f>
        <v/>
      </c>
      <c r="J17" s="10">
        <f>IF(H17="","",'Setup'!F20)</f>
        <v/>
      </c>
    </row>
    <row r="18">
      <c r="B18" s="19" t="inlineStr">
        <is>
          <t>December</t>
        </is>
      </c>
      <c r="C18" s="20">
        <f>IF(COUNT('December'!$E$7:$E$86)&gt;0,'December'!H6,"")</f>
        <v/>
      </c>
      <c r="D18" s="20">
        <f>IF(COUNT('December'!$E$7:$E$86)&gt;0,'December'!H7,"")</f>
        <v/>
      </c>
      <c r="E18" s="20">
        <f>IF(COUNT('December'!$E$7:$E$86)&gt;0,'December'!H8,"")</f>
        <v/>
      </c>
      <c r="F18" s="20">
        <f>IF(COUNT('December'!$E$7:$E$86)&gt;0,'December'!H9,"")</f>
        <v/>
      </c>
      <c r="H18" s="10">
        <f>IF('Setup'!E21="","",'Setup'!E21)</f>
        <v/>
      </c>
      <c r="I18" s="20">
        <f>IF(H18="","",SUMIFS('January'!$E$7:$E$86,'January'!$D$7:$D$86,H18)+SUMIFS('February'!$E$7:$E$86,'February'!$D$7:$D$86,H18)+SUMIFS('March'!$E$7:$E$86,'March'!$D$7:$D$86,H18)+SUMIFS('April'!$E$7:$E$86,'April'!$D$7:$D$86,H18)+SUMIFS('May'!$E$7:$E$86,'May'!$D$7:$D$86,H18)+SUMIFS('June'!$E$7:$E$86,'June'!$D$7:$D$86,H18)+SUMIFS('July'!$E$7:$E$86,'July'!$D$7:$D$86,H18)+SUMIFS('August'!$E$7:$E$86,'August'!$D$7:$D$86,H18)+SUMIFS('September'!$E$7:$E$86,'September'!$D$7:$D$86,H18)+SUMIFS('October'!$E$7:$E$86,'October'!$D$7:$D$86,H18)+SUMIFS('November'!$E$7:$E$86,'November'!$D$7:$D$86,H18)+SUMIFS('December'!$E$7:$E$86,'December'!$D$7:$D$86,H18))</f>
        <v/>
      </c>
      <c r="J18" s="10">
        <f>IF(H18="","",'Setup'!F21)</f>
        <v/>
      </c>
    </row>
    <row r="19">
      <c r="B19" s="17" t="inlineStr">
        <is>
          <t>Year</t>
        </is>
      </c>
      <c r="C19" s="21">
        <f>SUM(C7:C18)</f>
        <v/>
      </c>
      <c r="D19" s="21">
        <f>SUM(D7:D18)</f>
        <v/>
      </c>
      <c r="E19" s="21">
        <f>SUM(E7:E18)</f>
        <v/>
      </c>
      <c r="F19" s="21">
        <f>SUM(F7:F18)</f>
        <v/>
      </c>
      <c r="H19" s="10">
        <f>IF('Setup'!E22="","",'Setup'!E22)</f>
        <v/>
      </c>
      <c r="I19" s="20">
        <f>IF(H19="","",SUMIFS('January'!$E$7:$E$86,'January'!$D$7:$D$86,H19)+SUMIFS('February'!$E$7:$E$86,'February'!$D$7:$D$86,H19)+SUMIFS('March'!$E$7:$E$86,'March'!$D$7:$D$86,H19)+SUMIFS('April'!$E$7:$E$86,'April'!$D$7:$D$86,H19)+SUMIFS('May'!$E$7:$E$86,'May'!$D$7:$D$86,H19)+SUMIFS('June'!$E$7:$E$86,'June'!$D$7:$D$86,H19)+SUMIFS('July'!$E$7:$E$86,'July'!$D$7:$D$86,H19)+SUMIFS('August'!$E$7:$E$86,'August'!$D$7:$D$86,H19)+SUMIFS('September'!$E$7:$E$86,'September'!$D$7:$D$86,H19)+SUMIFS('October'!$E$7:$E$86,'October'!$D$7:$D$86,H19)+SUMIFS('November'!$E$7:$E$86,'November'!$D$7:$D$86,H19)+SUMIFS('December'!$E$7:$E$86,'December'!$D$7:$D$86,H19))</f>
        <v/>
      </c>
      <c r="J19" s="10">
        <f>IF(H19="","",'Setup'!F22)</f>
        <v/>
      </c>
    </row>
    <row r="20">
      <c r="B20" s="17" t="inlineStr">
        <is>
          <t>Share to savings and debt</t>
        </is>
      </c>
      <c r="C20" s="22">
        <f>IF(C19=0,"",F19/C19)</f>
        <v/>
      </c>
      <c r="H20" s="10">
        <f>IF('Setup'!E23="","",'Setup'!E23)</f>
        <v/>
      </c>
      <c r="I20" s="20">
        <f>IF(H20="","",SUMIFS('January'!$E$7:$E$86,'January'!$D$7:$D$86,H20)+SUMIFS('February'!$E$7:$E$86,'February'!$D$7:$D$86,H20)+SUMIFS('March'!$E$7:$E$86,'March'!$D$7:$D$86,H20)+SUMIFS('April'!$E$7:$E$86,'April'!$D$7:$D$86,H20)+SUMIFS('May'!$E$7:$E$86,'May'!$D$7:$D$86,H20)+SUMIFS('June'!$E$7:$E$86,'June'!$D$7:$D$86,H20)+SUMIFS('July'!$E$7:$E$86,'July'!$D$7:$D$86,H20)+SUMIFS('August'!$E$7:$E$86,'August'!$D$7:$D$86,H20)+SUMIFS('September'!$E$7:$E$86,'September'!$D$7:$D$86,H20)+SUMIFS('October'!$E$7:$E$86,'October'!$D$7:$D$86,H20)+SUMIFS('November'!$E$7:$E$86,'November'!$D$7:$D$86,H20)+SUMIFS('December'!$E$7:$E$86,'December'!$D$7:$D$86,H20))</f>
        <v/>
      </c>
      <c r="J20" s="10">
        <f>IF(H20="","",'Setup'!F23)</f>
        <v/>
      </c>
    </row>
    <row r="21">
      <c r="H21" s="10">
        <f>IF('Setup'!E24="","",'Setup'!E24)</f>
        <v/>
      </c>
      <c r="I21" s="20">
        <f>IF(H21="","",SUMIFS('January'!$E$7:$E$86,'January'!$D$7:$D$86,H21)+SUMIFS('February'!$E$7:$E$86,'February'!$D$7:$D$86,H21)+SUMIFS('March'!$E$7:$E$86,'March'!$D$7:$D$86,H21)+SUMIFS('April'!$E$7:$E$86,'April'!$D$7:$D$86,H21)+SUMIFS('May'!$E$7:$E$86,'May'!$D$7:$D$86,H21)+SUMIFS('June'!$E$7:$E$86,'June'!$D$7:$D$86,H21)+SUMIFS('July'!$E$7:$E$86,'July'!$D$7:$D$86,H21)+SUMIFS('August'!$E$7:$E$86,'August'!$D$7:$D$86,H21)+SUMIFS('September'!$E$7:$E$86,'September'!$D$7:$D$86,H21)+SUMIFS('October'!$E$7:$E$86,'October'!$D$7:$D$86,H21)+SUMIFS('November'!$E$7:$E$86,'November'!$D$7:$D$86,H21)+SUMIFS('December'!$E$7:$E$86,'December'!$D$7:$D$86,H21))</f>
        <v/>
      </c>
      <c r="J21" s="10">
        <f>IF(H21="","",'Setup'!F24)</f>
        <v/>
      </c>
    </row>
    <row r="22">
      <c r="H22" s="10">
        <f>IF('Setup'!E25="","",'Setup'!E25)</f>
        <v/>
      </c>
      <c r="I22" s="20">
        <f>IF(H22="","",SUMIFS('January'!$E$7:$E$86,'January'!$D$7:$D$86,H22)+SUMIFS('February'!$E$7:$E$86,'February'!$D$7:$D$86,H22)+SUMIFS('March'!$E$7:$E$86,'March'!$D$7:$D$86,H22)+SUMIFS('April'!$E$7:$E$86,'April'!$D$7:$D$86,H22)+SUMIFS('May'!$E$7:$E$86,'May'!$D$7:$D$86,H22)+SUMIFS('June'!$E$7:$E$86,'June'!$D$7:$D$86,H22)+SUMIFS('July'!$E$7:$E$86,'July'!$D$7:$D$86,H22)+SUMIFS('August'!$E$7:$E$86,'August'!$D$7:$D$86,H22)+SUMIFS('September'!$E$7:$E$86,'September'!$D$7:$D$86,H22)+SUMIFS('October'!$E$7:$E$86,'October'!$D$7:$D$86,H22)+SUMIFS('November'!$E$7:$E$86,'November'!$D$7:$D$86,H22)+SUMIFS('December'!$E$7:$E$86,'December'!$D$7:$D$86,H22))</f>
        <v/>
      </c>
      <c r="J22" s="10">
        <f>IF(H22="","",'Setup'!F25)</f>
        <v/>
      </c>
    </row>
    <row r="23" ht="34" customHeight="1">
      <c r="B23" s="9" t="inlineStr">
        <is>
          <t>Group</t>
        </is>
      </c>
      <c r="C23" s="9" t="inlineStr">
        <is>
          <t>Spent this year</t>
        </is>
      </c>
      <c r="H23" s="10">
        <f>IF('Setup'!E26="","",'Setup'!E26)</f>
        <v/>
      </c>
      <c r="I23" s="20">
        <f>IF(H23="","",SUMIFS('January'!$E$7:$E$86,'January'!$D$7:$D$86,H23)+SUMIFS('February'!$E$7:$E$86,'February'!$D$7:$D$86,H23)+SUMIFS('March'!$E$7:$E$86,'March'!$D$7:$D$86,H23)+SUMIFS('April'!$E$7:$E$86,'April'!$D$7:$D$86,H23)+SUMIFS('May'!$E$7:$E$86,'May'!$D$7:$D$86,H23)+SUMIFS('June'!$E$7:$E$86,'June'!$D$7:$D$86,H23)+SUMIFS('July'!$E$7:$E$86,'July'!$D$7:$D$86,H23)+SUMIFS('August'!$E$7:$E$86,'August'!$D$7:$D$86,H23)+SUMIFS('September'!$E$7:$E$86,'September'!$D$7:$D$86,H23)+SUMIFS('October'!$E$7:$E$86,'October'!$D$7:$D$86,H23)+SUMIFS('November'!$E$7:$E$86,'November'!$D$7:$D$86,H23)+SUMIFS('December'!$E$7:$E$86,'December'!$D$7:$D$86,H23))</f>
        <v/>
      </c>
      <c r="J23" s="10">
        <f>IF(H23="","",'Setup'!F26)</f>
        <v/>
      </c>
    </row>
    <row r="24">
      <c r="B24" s="10" t="inlineStr">
        <is>
          <t>Needs</t>
        </is>
      </c>
      <c r="C24" s="20">
        <f>SUMIF($J$7:$J$36,"Needs",$I$7:$I$36)</f>
        <v/>
      </c>
      <c r="H24" s="10">
        <f>IF('Setup'!E27="","",'Setup'!E27)</f>
        <v/>
      </c>
      <c r="I24" s="20">
        <f>IF(H24="","",SUMIFS('January'!$E$7:$E$86,'January'!$D$7:$D$86,H24)+SUMIFS('February'!$E$7:$E$86,'February'!$D$7:$D$86,H24)+SUMIFS('March'!$E$7:$E$86,'March'!$D$7:$D$86,H24)+SUMIFS('April'!$E$7:$E$86,'April'!$D$7:$D$86,H24)+SUMIFS('May'!$E$7:$E$86,'May'!$D$7:$D$86,H24)+SUMIFS('June'!$E$7:$E$86,'June'!$D$7:$D$86,H24)+SUMIFS('July'!$E$7:$E$86,'July'!$D$7:$D$86,H24)+SUMIFS('August'!$E$7:$E$86,'August'!$D$7:$D$86,H24)+SUMIFS('September'!$E$7:$E$86,'September'!$D$7:$D$86,H24)+SUMIFS('October'!$E$7:$E$86,'October'!$D$7:$D$86,H24)+SUMIFS('November'!$E$7:$E$86,'November'!$D$7:$D$86,H24)+SUMIFS('December'!$E$7:$E$86,'December'!$D$7:$D$86,H24))</f>
        <v/>
      </c>
      <c r="J24" s="10">
        <f>IF(H24="","",'Setup'!F27)</f>
        <v/>
      </c>
    </row>
    <row r="25">
      <c r="B25" s="10" t="inlineStr">
        <is>
          <t>Wants</t>
        </is>
      </c>
      <c r="C25" s="20">
        <f>SUMIF($J$7:$J$36,"Wants",$I$7:$I$36)</f>
        <v/>
      </c>
      <c r="H25" s="10">
        <f>IF('Setup'!E28="","",'Setup'!E28)</f>
        <v/>
      </c>
      <c r="I25" s="20">
        <f>IF(H25="","",SUMIFS('January'!$E$7:$E$86,'January'!$D$7:$D$86,H25)+SUMIFS('February'!$E$7:$E$86,'February'!$D$7:$D$86,H25)+SUMIFS('March'!$E$7:$E$86,'March'!$D$7:$D$86,H25)+SUMIFS('April'!$E$7:$E$86,'April'!$D$7:$D$86,H25)+SUMIFS('May'!$E$7:$E$86,'May'!$D$7:$D$86,H25)+SUMIFS('June'!$E$7:$E$86,'June'!$D$7:$D$86,H25)+SUMIFS('July'!$E$7:$E$86,'July'!$D$7:$D$86,H25)+SUMIFS('August'!$E$7:$E$86,'August'!$D$7:$D$86,H25)+SUMIFS('September'!$E$7:$E$86,'September'!$D$7:$D$86,H25)+SUMIFS('October'!$E$7:$E$86,'October'!$D$7:$D$86,H25)+SUMIFS('November'!$E$7:$E$86,'November'!$D$7:$D$86,H25)+SUMIFS('December'!$E$7:$E$86,'December'!$D$7:$D$86,H25))</f>
        <v/>
      </c>
      <c r="J25" s="10">
        <f>IF(H25="","",'Setup'!F28)</f>
        <v/>
      </c>
    </row>
    <row r="26">
      <c r="B26" s="10" t="inlineStr">
        <is>
          <t>Savings</t>
        </is>
      </c>
      <c r="C26" s="20">
        <f>SUMIF($J$7:$J$36,"Savings",$I$7:$I$36)</f>
        <v/>
      </c>
      <c r="H26" s="10">
        <f>IF('Setup'!E29="","",'Setup'!E29)</f>
        <v/>
      </c>
      <c r="I26" s="20">
        <f>IF(H26="","",SUMIFS('January'!$E$7:$E$86,'January'!$D$7:$D$86,H26)+SUMIFS('February'!$E$7:$E$86,'February'!$D$7:$D$86,H26)+SUMIFS('March'!$E$7:$E$86,'March'!$D$7:$D$86,H26)+SUMIFS('April'!$E$7:$E$86,'April'!$D$7:$D$86,H26)+SUMIFS('May'!$E$7:$E$86,'May'!$D$7:$D$86,H26)+SUMIFS('June'!$E$7:$E$86,'June'!$D$7:$D$86,H26)+SUMIFS('July'!$E$7:$E$86,'July'!$D$7:$D$86,H26)+SUMIFS('August'!$E$7:$E$86,'August'!$D$7:$D$86,H26)+SUMIFS('September'!$E$7:$E$86,'September'!$D$7:$D$86,H26)+SUMIFS('October'!$E$7:$E$86,'October'!$D$7:$D$86,H26)+SUMIFS('November'!$E$7:$E$86,'November'!$D$7:$D$86,H26)+SUMIFS('December'!$E$7:$E$86,'December'!$D$7:$D$86,H26))</f>
        <v/>
      </c>
      <c r="J26" s="10">
        <f>IF(H26="","",'Setup'!F29)</f>
        <v/>
      </c>
    </row>
    <row r="27">
      <c r="B27" s="10" t="inlineStr">
        <is>
          <t>Debt</t>
        </is>
      </c>
      <c r="C27" s="20">
        <f>SUMIF($J$7:$J$36,"Debt",$I$7:$I$36)</f>
        <v/>
      </c>
      <c r="H27" s="10">
        <f>IF('Setup'!E30="","",'Setup'!E30)</f>
        <v/>
      </c>
      <c r="I27" s="20">
        <f>IF(H27="","",SUMIFS('January'!$E$7:$E$86,'January'!$D$7:$D$86,H27)+SUMIFS('February'!$E$7:$E$86,'February'!$D$7:$D$86,H27)+SUMIFS('March'!$E$7:$E$86,'March'!$D$7:$D$86,H27)+SUMIFS('April'!$E$7:$E$86,'April'!$D$7:$D$86,H27)+SUMIFS('May'!$E$7:$E$86,'May'!$D$7:$D$86,H27)+SUMIFS('June'!$E$7:$E$86,'June'!$D$7:$D$86,H27)+SUMIFS('July'!$E$7:$E$86,'July'!$D$7:$D$86,H27)+SUMIFS('August'!$E$7:$E$86,'August'!$D$7:$D$86,H27)+SUMIFS('September'!$E$7:$E$86,'September'!$D$7:$D$86,H27)+SUMIFS('October'!$E$7:$E$86,'October'!$D$7:$D$86,H27)+SUMIFS('November'!$E$7:$E$86,'November'!$D$7:$D$86,H27)+SUMIFS('December'!$E$7:$E$86,'December'!$D$7:$D$86,H27))</f>
        <v/>
      </c>
      <c r="J27" s="10">
        <f>IF(H27="","",'Setup'!F30)</f>
        <v/>
      </c>
    </row>
    <row r="28">
      <c r="H28" s="10">
        <f>IF('Setup'!E31="","",'Setup'!E31)</f>
        <v/>
      </c>
      <c r="I28" s="20">
        <f>IF(H28="","",SUMIFS('January'!$E$7:$E$86,'January'!$D$7:$D$86,H28)+SUMIFS('February'!$E$7:$E$86,'February'!$D$7:$D$86,H28)+SUMIFS('March'!$E$7:$E$86,'March'!$D$7:$D$86,H28)+SUMIFS('April'!$E$7:$E$86,'April'!$D$7:$D$86,H28)+SUMIFS('May'!$E$7:$E$86,'May'!$D$7:$D$86,H28)+SUMIFS('June'!$E$7:$E$86,'June'!$D$7:$D$86,H28)+SUMIFS('July'!$E$7:$E$86,'July'!$D$7:$D$86,H28)+SUMIFS('August'!$E$7:$E$86,'August'!$D$7:$D$86,H28)+SUMIFS('September'!$E$7:$E$86,'September'!$D$7:$D$86,H28)+SUMIFS('October'!$E$7:$E$86,'October'!$D$7:$D$86,H28)+SUMIFS('November'!$E$7:$E$86,'November'!$D$7:$D$86,H28)+SUMIFS('December'!$E$7:$E$86,'December'!$D$7:$D$86,H28))</f>
        <v/>
      </c>
      <c r="J28" s="10">
        <f>IF(H28="","",'Setup'!F31)</f>
        <v/>
      </c>
    </row>
    <row r="29">
      <c r="H29" s="10">
        <f>IF('Setup'!E32="","",'Setup'!E32)</f>
        <v/>
      </c>
      <c r="I29" s="20">
        <f>IF(H29="","",SUMIFS('January'!$E$7:$E$86,'January'!$D$7:$D$86,H29)+SUMIFS('February'!$E$7:$E$86,'February'!$D$7:$D$86,H29)+SUMIFS('March'!$E$7:$E$86,'March'!$D$7:$D$86,H29)+SUMIFS('April'!$E$7:$E$86,'April'!$D$7:$D$86,H29)+SUMIFS('May'!$E$7:$E$86,'May'!$D$7:$D$86,H29)+SUMIFS('June'!$E$7:$E$86,'June'!$D$7:$D$86,H29)+SUMIFS('July'!$E$7:$E$86,'July'!$D$7:$D$86,H29)+SUMIFS('August'!$E$7:$E$86,'August'!$D$7:$D$86,H29)+SUMIFS('September'!$E$7:$E$86,'September'!$D$7:$D$86,H29)+SUMIFS('October'!$E$7:$E$86,'October'!$D$7:$D$86,H29)+SUMIFS('November'!$E$7:$E$86,'November'!$D$7:$D$86,H29)+SUMIFS('December'!$E$7:$E$86,'December'!$D$7:$D$86,H29))</f>
        <v/>
      </c>
      <c r="J29" s="10">
        <f>IF(H29="","",'Setup'!F32)</f>
        <v/>
      </c>
    </row>
    <row r="30">
      <c r="H30" s="10">
        <f>IF('Setup'!E33="","",'Setup'!E33)</f>
        <v/>
      </c>
      <c r="I30" s="20">
        <f>IF(H30="","",SUMIFS('January'!$E$7:$E$86,'January'!$D$7:$D$86,H30)+SUMIFS('February'!$E$7:$E$86,'February'!$D$7:$D$86,H30)+SUMIFS('March'!$E$7:$E$86,'March'!$D$7:$D$86,H30)+SUMIFS('April'!$E$7:$E$86,'April'!$D$7:$D$86,H30)+SUMIFS('May'!$E$7:$E$86,'May'!$D$7:$D$86,H30)+SUMIFS('June'!$E$7:$E$86,'June'!$D$7:$D$86,H30)+SUMIFS('July'!$E$7:$E$86,'July'!$D$7:$D$86,H30)+SUMIFS('August'!$E$7:$E$86,'August'!$D$7:$D$86,H30)+SUMIFS('September'!$E$7:$E$86,'September'!$D$7:$D$86,H30)+SUMIFS('October'!$E$7:$E$86,'October'!$D$7:$D$86,H30)+SUMIFS('November'!$E$7:$E$86,'November'!$D$7:$D$86,H30)+SUMIFS('December'!$E$7:$E$86,'December'!$D$7:$D$86,H30))</f>
        <v/>
      </c>
      <c r="J30" s="10">
        <f>IF(H30="","",'Setup'!F33)</f>
        <v/>
      </c>
    </row>
    <row r="31">
      <c r="H31" s="10">
        <f>IF('Setup'!E34="","",'Setup'!E34)</f>
        <v/>
      </c>
      <c r="I31" s="20">
        <f>IF(H31="","",SUMIFS('January'!$E$7:$E$86,'January'!$D$7:$D$86,H31)+SUMIFS('February'!$E$7:$E$86,'February'!$D$7:$D$86,H31)+SUMIFS('March'!$E$7:$E$86,'March'!$D$7:$D$86,H31)+SUMIFS('April'!$E$7:$E$86,'April'!$D$7:$D$86,H31)+SUMIFS('May'!$E$7:$E$86,'May'!$D$7:$D$86,H31)+SUMIFS('June'!$E$7:$E$86,'June'!$D$7:$D$86,H31)+SUMIFS('July'!$E$7:$E$86,'July'!$D$7:$D$86,H31)+SUMIFS('August'!$E$7:$E$86,'August'!$D$7:$D$86,H31)+SUMIFS('September'!$E$7:$E$86,'September'!$D$7:$D$86,H31)+SUMIFS('October'!$E$7:$E$86,'October'!$D$7:$D$86,H31)+SUMIFS('November'!$E$7:$E$86,'November'!$D$7:$D$86,H31)+SUMIFS('December'!$E$7:$E$86,'December'!$D$7:$D$86,H31))</f>
        <v/>
      </c>
      <c r="J31" s="10">
        <f>IF(H31="","",'Setup'!F34)</f>
        <v/>
      </c>
    </row>
    <row r="32">
      <c r="H32" s="10">
        <f>IF('Setup'!E35="","",'Setup'!E35)</f>
        <v/>
      </c>
      <c r="I32" s="20">
        <f>IF(H32="","",SUMIFS('January'!$E$7:$E$86,'January'!$D$7:$D$86,H32)+SUMIFS('February'!$E$7:$E$86,'February'!$D$7:$D$86,H32)+SUMIFS('March'!$E$7:$E$86,'March'!$D$7:$D$86,H32)+SUMIFS('April'!$E$7:$E$86,'April'!$D$7:$D$86,H32)+SUMIFS('May'!$E$7:$E$86,'May'!$D$7:$D$86,H32)+SUMIFS('June'!$E$7:$E$86,'June'!$D$7:$D$86,H32)+SUMIFS('July'!$E$7:$E$86,'July'!$D$7:$D$86,H32)+SUMIFS('August'!$E$7:$E$86,'August'!$D$7:$D$86,H32)+SUMIFS('September'!$E$7:$E$86,'September'!$D$7:$D$86,H32)+SUMIFS('October'!$E$7:$E$86,'October'!$D$7:$D$86,H32)+SUMIFS('November'!$E$7:$E$86,'November'!$D$7:$D$86,H32)+SUMIFS('December'!$E$7:$E$86,'December'!$D$7:$D$86,H32))</f>
        <v/>
      </c>
      <c r="J32" s="10">
        <f>IF(H32="","",'Setup'!F35)</f>
        <v/>
      </c>
    </row>
    <row r="33">
      <c r="H33" s="10">
        <f>IF('Setup'!E36="","",'Setup'!E36)</f>
        <v/>
      </c>
      <c r="I33" s="20">
        <f>IF(H33="","",SUMIFS('January'!$E$7:$E$86,'January'!$D$7:$D$86,H33)+SUMIFS('February'!$E$7:$E$86,'February'!$D$7:$D$86,H33)+SUMIFS('March'!$E$7:$E$86,'March'!$D$7:$D$86,H33)+SUMIFS('April'!$E$7:$E$86,'April'!$D$7:$D$86,H33)+SUMIFS('May'!$E$7:$E$86,'May'!$D$7:$D$86,H33)+SUMIFS('June'!$E$7:$E$86,'June'!$D$7:$D$86,H33)+SUMIFS('July'!$E$7:$E$86,'July'!$D$7:$D$86,H33)+SUMIFS('August'!$E$7:$E$86,'August'!$D$7:$D$86,H33)+SUMIFS('September'!$E$7:$E$86,'September'!$D$7:$D$86,H33)+SUMIFS('October'!$E$7:$E$86,'October'!$D$7:$D$86,H33)+SUMIFS('November'!$E$7:$E$86,'November'!$D$7:$D$86,H33)+SUMIFS('December'!$E$7:$E$86,'December'!$D$7:$D$86,H33))</f>
        <v/>
      </c>
      <c r="J33" s="10">
        <f>IF(H33="","",'Setup'!F36)</f>
        <v/>
      </c>
    </row>
    <row r="34">
      <c r="H34" s="10">
        <f>IF('Setup'!E37="","",'Setup'!E37)</f>
        <v/>
      </c>
      <c r="I34" s="20">
        <f>IF(H34="","",SUMIFS('January'!$E$7:$E$86,'January'!$D$7:$D$86,H34)+SUMIFS('February'!$E$7:$E$86,'February'!$D$7:$D$86,H34)+SUMIFS('March'!$E$7:$E$86,'March'!$D$7:$D$86,H34)+SUMIFS('April'!$E$7:$E$86,'April'!$D$7:$D$86,H34)+SUMIFS('May'!$E$7:$E$86,'May'!$D$7:$D$86,H34)+SUMIFS('June'!$E$7:$E$86,'June'!$D$7:$D$86,H34)+SUMIFS('July'!$E$7:$E$86,'July'!$D$7:$D$86,H34)+SUMIFS('August'!$E$7:$E$86,'August'!$D$7:$D$86,H34)+SUMIFS('September'!$E$7:$E$86,'September'!$D$7:$D$86,H34)+SUMIFS('October'!$E$7:$E$86,'October'!$D$7:$D$86,H34)+SUMIFS('November'!$E$7:$E$86,'November'!$D$7:$D$86,H34)+SUMIFS('December'!$E$7:$E$86,'December'!$D$7:$D$86,H34))</f>
        <v/>
      </c>
      <c r="J34" s="10">
        <f>IF(H34="","",'Setup'!F37)</f>
        <v/>
      </c>
    </row>
    <row r="35">
      <c r="H35" s="10">
        <f>IF('Setup'!E38="","",'Setup'!E38)</f>
        <v/>
      </c>
      <c r="I35" s="20">
        <f>IF(H35="","",SUMIFS('January'!$E$7:$E$86,'January'!$D$7:$D$86,H35)+SUMIFS('February'!$E$7:$E$86,'February'!$D$7:$D$86,H35)+SUMIFS('March'!$E$7:$E$86,'March'!$D$7:$D$86,H35)+SUMIFS('April'!$E$7:$E$86,'April'!$D$7:$D$86,H35)+SUMIFS('May'!$E$7:$E$86,'May'!$D$7:$D$86,H35)+SUMIFS('June'!$E$7:$E$86,'June'!$D$7:$D$86,H35)+SUMIFS('July'!$E$7:$E$86,'July'!$D$7:$D$86,H35)+SUMIFS('August'!$E$7:$E$86,'August'!$D$7:$D$86,H35)+SUMIFS('September'!$E$7:$E$86,'September'!$D$7:$D$86,H35)+SUMIFS('October'!$E$7:$E$86,'October'!$D$7:$D$86,H35)+SUMIFS('November'!$E$7:$E$86,'November'!$D$7:$D$86,H35)+SUMIFS('December'!$E$7:$E$86,'December'!$D$7:$D$86,H35))</f>
        <v/>
      </c>
      <c r="J35" s="10">
        <f>IF(H35="","",'Setup'!F38)</f>
        <v/>
      </c>
    </row>
    <row r="36">
      <c r="H36" s="10">
        <f>IF('Setup'!E39="","",'Setup'!E39)</f>
        <v/>
      </c>
      <c r="I36" s="20">
        <f>IF(H36="","",SUMIFS('January'!$E$7:$E$86,'January'!$D$7:$D$86,H36)+SUMIFS('February'!$E$7:$E$86,'February'!$D$7:$D$86,H36)+SUMIFS('March'!$E$7:$E$86,'March'!$D$7:$D$86,H36)+SUMIFS('April'!$E$7:$E$86,'April'!$D$7:$D$86,H36)+SUMIFS('May'!$E$7:$E$86,'May'!$D$7:$D$86,H36)+SUMIFS('June'!$E$7:$E$86,'June'!$D$7:$D$86,H36)+SUMIFS('July'!$E$7:$E$86,'July'!$D$7:$D$86,H36)+SUMIFS('August'!$E$7:$E$86,'August'!$D$7:$D$86,H36)+SUMIFS('September'!$E$7:$E$86,'September'!$D$7:$D$86,H36)+SUMIFS('October'!$E$7:$E$86,'October'!$D$7:$D$86,H36)+SUMIFS('November'!$E$7:$E$86,'November'!$D$7:$D$86,H36)+SUMIFS('December'!$E$7:$E$86,'December'!$D$7:$D$86,H36))</f>
        <v/>
      </c>
      <c r="J36" s="10">
        <f>IF(H36="","",'Setup'!F39)</f>
        <v/>
      </c>
    </row>
  </sheetData>
  <sheetProtection selectLockedCells="0" selectUnlockedCells="0" sheet="1" objects="0" insertRows="0" insertHyperlinks="1" autoFilter="0" scenarios="0" formatColumns="0" deleteColumns="1" insertColumns="1" pivotTables="1" deleteRows="1" formatCells="1" formatRows="0" sort="0"/>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 ref="B7" location="'January'!A1" display="January"/>
    <hyperlink ref="B8" location="'February'!A1" display="February"/>
    <hyperlink ref="B9" location="'March'!A1" display="March"/>
    <hyperlink ref="B10" location="'April'!A1" display="April"/>
    <hyperlink ref="B11" location="'May'!A1" display="May"/>
    <hyperlink ref="B12" location="'June'!A1" display="June"/>
    <hyperlink ref="B13" location="'July'!A1" display="July"/>
    <hyperlink ref="B14" location="'August'!A1" display="August"/>
    <hyperlink ref="B15" location="'September'!A1" display="September"/>
    <hyperlink ref="B16" location="'October'!A1" display="October"/>
    <hyperlink ref="B17" location="'November'!A1" display="November"/>
    <hyperlink ref="B18" location="'December'!A1" display="December"/>
  </hyperlinks>
  <printOptions gridLines="0"/>
  <pageMargins left="0.75" right="0.75" top="1" bottom="1" header="0.5" footer="0.5"/>
  <pageSetup orientation="landscape" fitToHeight="1" fitToWidth="1"/>
  <drawing xmlns:r="http://schemas.openxmlformats.org/officeDocument/2006/relationships" r:id="rId1"/>
</worksheet>
</file>

<file path=xl/worksheets/sheet3.xml><?xml version="1.0" encoding="utf-8"?>
<worksheet xmlns="http://schemas.openxmlformats.org/spreadsheetml/2006/main">
  <sheetPr>
    <tabColor rgb="002F6F5E"/>
    <outlinePr summaryBelow="1" summaryRight="1"/>
    <pageSetUpPr fitToPage="1"/>
  </sheetPr>
  <dimension ref="B2:I41"/>
  <sheetViews>
    <sheetView showGridLines="0" workbookViewId="0">
      <pane ySplit="8" topLeftCell="A9" activePane="bottomLeft" state="frozen"/>
      <selection pane="bottomLeft" activeCell="A1" sqref="A1"/>
    </sheetView>
  </sheetViews>
  <sheetFormatPr baseColWidth="8" defaultRowHeight="15"/>
  <cols>
    <col width="3" customWidth="1" min="1" max="1"/>
    <col width="28" customWidth="1" min="2" max="2"/>
    <col width="16" customWidth="1" min="3" max="3"/>
    <col width="14" customWidth="1" min="4" max="4"/>
    <col width="28" customWidth="1" min="5" max="5"/>
    <col width="14" customWidth="1" min="6" max="6"/>
    <col width="16"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Setup</t>
        </is>
      </c>
    </row>
    <row r="3">
      <c r="B3" s="2" t="inlineStr">
        <is>
          <t>Fill this in once. Every other tab updates from here.</t>
        </is>
      </c>
    </row>
    <row r="4">
      <c r="B4" s="3" t="inlineStr">
        <is>
          <t>Start here</t>
        </is>
      </c>
      <c r="C4" s="3" t="inlineStr">
        <is>
          <t>Dashboard</t>
        </is>
      </c>
      <c r="D4" s="3" t="inlineStr">
        <is>
          <t>Setup</t>
        </is>
      </c>
      <c r="E4" s="3" t="inlineStr">
        <is>
          <t>Months</t>
        </is>
      </c>
      <c r="F4" s="3" t="inlineStr">
        <is>
          <t>Bills</t>
        </is>
      </c>
      <c r="G4" s="3" t="inlineStr">
        <is>
          <t>Paycheck</t>
        </is>
      </c>
      <c r="H4" s="3" t="inlineStr">
        <is>
          <t>Debt</t>
        </is>
      </c>
      <c r="I4" s="3" t="inlineStr">
        <is>
          <t>Savings</t>
        </is>
      </c>
    </row>
    <row r="6">
      <c r="B6" s="17" t="inlineStr">
        <is>
          <t>Year</t>
        </is>
      </c>
      <c r="C6" s="23" t="n">
        <v>2027</v>
      </c>
    </row>
    <row r="7">
      <c r="B7" s="17" t="inlineStr">
        <is>
          <t>Currency</t>
        </is>
      </c>
      <c r="C7" s="10" t="inlineStr">
        <is>
          <t>$</t>
        </is>
      </c>
    </row>
    <row r="9" ht="22" customHeight="1">
      <c r="B9" s="9" t="inlineStr">
        <is>
          <t>Income source</t>
        </is>
      </c>
      <c r="C9" s="9" t="inlineStr">
        <is>
          <t>Monthly amount</t>
        </is>
      </c>
      <c r="E9" s="9" t="inlineStr">
        <is>
          <t>Category</t>
        </is>
      </c>
      <c r="F9" s="9" t="inlineStr">
        <is>
          <t>Group</t>
        </is>
      </c>
      <c r="G9" s="9" t="inlineStr">
        <is>
          <t>Monthly budget</t>
        </is>
      </c>
    </row>
    <row r="10">
      <c r="B10" s="15" t="inlineStr">
        <is>
          <t>Paycheck</t>
        </is>
      </c>
      <c r="C10" s="24" t="n">
        <v>3600</v>
      </c>
      <c r="E10" s="15" t="inlineStr">
        <is>
          <t>Rent or mortgage</t>
        </is>
      </c>
      <c r="F10" s="15" t="inlineStr">
        <is>
          <t>Needs</t>
        </is>
      </c>
      <c r="G10" s="24" t="n">
        <v>1400</v>
      </c>
    </row>
    <row r="11">
      <c r="B11" s="15" t="inlineStr">
        <is>
          <t>Side income</t>
        </is>
      </c>
      <c r="C11" s="24" t="n">
        <v>300</v>
      </c>
      <c r="E11" s="15" t="inlineStr">
        <is>
          <t>Utilities</t>
        </is>
      </c>
      <c r="F11" s="15" t="inlineStr">
        <is>
          <t>Needs</t>
        </is>
      </c>
      <c r="G11" s="24" t="n">
        <v>180</v>
      </c>
    </row>
    <row r="12">
      <c r="B12" s="15" t="n"/>
      <c r="C12" s="24" t="n"/>
      <c r="E12" s="15" t="inlineStr">
        <is>
          <t>Groceries</t>
        </is>
      </c>
      <c r="F12" s="15" t="inlineStr">
        <is>
          <t>Needs</t>
        </is>
      </c>
      <c r="G12" s="24" t="n">
        <v>500</v>
      </c>
    </row>
    <row r="13">
      <c r="B13" s="15" t="n"/>
      <c r="C13" s="24" t="n"/>
      <c r="E13" s="15" t="inlineStr">
        <is>
          <t>Transport</t>
        </is>
      </c>
      <c r="F13" s="15" t="inlineStr">
        <is>
          <t>Needs</t>
        </is>
      </c>
      <c r="G13" s="24" t="n">
        <v>220</v>
      </c>
    </row>
    <row r="14">
      <c r="B14" s="15" t="n"/>
      <c r="C14" s="24" t="n"/>
      <c r="E14" s="15" t="inlineStr">
        <is>
          <t>Insurance</t>
        </is>
      </c>
      <c r="F14" s="15" t="inlineStr">
        <is>
          <t>Needs</t>
        </is>
      </c>
      <c r="G14" s="24" t="n">
        <v>160</v>
      </c>
    </row>
    <row r="15">
      <c r="B15" s="15" t="n"/>
      <c r="C15" s="24" t="n"/>
      <c r="E15" s="15" t="inlineStr">
        <is>
          <t>Phone and internet</t>
        </is>
      </c>
      <c r="F15" s="15" t="inlineStr">
        <is>
          <t>Needs</t>
        </is>
      </c>
      <c r="G15" s="24" t="n">
        <v>95</v>
      </c>
    </row>
    <row r="16">
      <c r="B16" s="15" t="n"/>
      <c r="C16" s="24" t="n"/>
      <c r="E16" s="15" t="inlineStr">
        <is>
          <t>Medical</t>
        </is>
      </c>
      <c r="F16" s="15" t="inlineStr">
        <is>
          <t>Needs</t>
        </is>
      </c>
      <c r="G16" s="24" t="n">
        <v>60</v>
      </c>
    </row>
    <row r="17">
      <c r="B17" s="15" t="n"/>
      <c r="C17" s="24" t="n"/>
      <c r="E17" s="15" t="inlineStr">
        <is>
          <t>Eating out</t>
        </is>
      </c>
      <c r="F17" s="15" t="inlineStr">
        <is>
          <t>Wants</t>
        </is>
      </c>
      <c r="G17" s="24" t="n">
        <v>150</v>
      </c>
    </row>
    <row r="18">
      <c r="B18" s="17" t="inlineStr">
        <is>
          <t>Expected income</t>
        </is>
      </c>
      <c r="C18" s="21">
        <f>SUM(C10:C17)</f>
        <v/>
      </c>
      <c r="E18" s="15" t="inlineStr">
        <is>
          <t>Shopping</t>
        </is>
      </c>
      <c r="F18" s="15" t="inlineStr">
        <is>
          <t>Wants</t>
        </is>
      </c>
      <c r="G18" s="24" t="n">
        <v>120</v>
      </c>
    </row>
    <row r="19">
      <c r="E19" s="15" t="inlineStr">
        <is>
          <t>Subscriptions</t>
        </is>
      </c>
      <c r="F19" s="15" t="inlineStr">
        <is>
          <t>Wants</t>
        </is>
      </c>
      <c r="G19" s="24" t="n">
        <v>45</v>
      </c>
    </row>
    <row r="20">
      <c r="E20" s="15" t="inlineStr">
        <is>
          <t>Fun</t>
        </is>
      </c>
      <c r="F20" s="15" t="inlineStr">
        <is>
          <t>Wants</t>
        </is>
      </c>
      <c r="G20" s="24" t="n">
        <v>100</v>
      </c>
    </row>
    <row r="21">
      <c r="E21" s="15" t="inlineStr">
        <is>
          <t>Gifts</t>
        </is>
      </c>
      <c r="F21" s="15" t="inlineStr">
        <is>
          <t>Wants</t>
        </is>
      </c>
      <c r="G21" s="24" t="n">
        <v>40</v>
      </c>
    </row>
    <row r="22">
      <c r="E22" s="15" t="inlineStr">
        <is>
          <t>Personal care</t>
        </is>
      </c>
      <c r="F22" s="15" t="inlineStr">
        <is>
          <t>Wants</t>
        </is>
      </c>
      <c r="G22" s="24" t="n">
        <v>50</v>
      </c>
    </row>
    <row r="23">
      <c r="E23" s="15" t="inlineStr">
        <is>
          <t>Emergency fund</t>
        </is>
      </c>
      <c r="F23" s="15" t="inlineStr">
        <is>
          <t>Savings</t>
        </is>
      </c>
      <c r="G23" s="24" t="n">
        <v>200</v>
      </c>
    </row>
    <row r="24">
      <c r="E24" s="15" t="inlineStr">
        <is>
          <t>Sinking funds</t>
        </is>
      </c>
      <c r="F24" s="15" t="inlineStr">
        <is>
          <t>Savings</t>
        </is>
      </c>
      <c r="G24" s="24" t="n">
        <v>100</v>
      </c>
    </row>
    <row r="25">
      <c r="E25" s="15" t="inlineStr">
        <is>
          <t>Retirement</t>
        </is>
      </c>
      <c r="F25" s="15" t="inlineStr">
        <is>
          <t>Savings</t>
        </is>
      </c>
      <c r="G25" s="24" t="n">
        <v>150</v>
      </c>
    </row>
    <row r="26">
      <c r="E26" s="15" t="inlineStr">
        <is>
          <t>Credit card</t>
        </is>
      </c>
      <c r="F26" s="15" t="inlineStr">
        <is>
          <t>Debt</t>
        </is>
      </c>
      <c r="G26" s="24" t="n">
        <v>150</v>
      </c>
    </row>
    <row r="27">
      <c r="E27" s="15" t="inlineStr">
        <is>
          <t>Student loan</t>
        </is>
      </c>
      <c r="F27" s="15" t="inlineStr">
        <is>
          <t>Debt</t>
        </is>
      </c>
      <c r="G27" s="24" t="n">
        <v>180</v>
      </c>
    </row>
    <row r="28">
      <c r="E28" s="15" t="n"/>
      <c r="F28" s="15" t="n"/>
      <c r="G28" s="24" t="n"/>
    </row>
    <row r="29">
      <c r="E29" s="15" t="n"/>
      <c r="F29" s="15" t="n"/>
      <c r="G29" s="24" t="n"/>
    </row>
    <row r="30">
      <c r="E30" s="15" t="n"/>
      <c r="F30" s="15" t="n"/>
      <c r="G30" s="24" t="n"/>
    </row>
    <row r="31">
      <c r="E31" s="15" t="n"/>
      <c r="F31" s="15" t="n"/>
      <c r="G31" s="24" t="n"/>
    </row>
    <row r="32">
      <c r="E32" s="15" t="n"/>
      <c r="F32" s="15" t="n"/>
      <c r="G32" s="24" t="n"/>
    </row>
    <row r="33">
      <c r="E33" s="15" t="n"/>
      <c r="F33" s="15" t="n"/>
      <c r="G33" s="24" t="n"/>
    </row>
    <row r="34">
      <c r="E34" s="15" t="n"/>
      <c r="F34" s="15" t="n"/>
      <c r="G34" s="24" t="n"/>
    </row>
    <row r="35">
      <c r="E35" s="15" t="n"/>
      <c r="F35" s="15" t="n"/>
      <c r="G35" s="24" t="n"/>
    </row>
    <row r="36">
      <c r="E36" s="15" t="n"/>
      <c r="F36" s="15" t="n"/>
      <c r="G36" s="24" t="n"/>
    </row>
    <row r="37">
      <c r="E37" s="15" t="n"/>
      <c r="F37" s="15" t="n"/>
      <c r="G37" s="24" t="n"/>
    </row>
    <row r="38">
      <c r="E38" s="15" t="n"/>
      <c r="F38" s="15" t="n"/>
      <c r="G38" s="24" t="n"/>
    </row>
    <row r="39">
      <c r="E39" s="15" t="n"/>
      <c r="F39" s="15" t="n"/>
      <c r="G39" s="24" t="n"/>
    </row>
    <row r="40">
      <c r="E40" s="17" t="inlineStr">
        <is>
          <t>Total budget</t>
        </is>
      </c>
      <c r="G40" s="21">
        <f>SUM(G10:G39)</f>
        <v/>
      </c>
    </row>
    <row r="41">
      <c r="E41" s="17" t="inlineStr">
        <is>
          <t>Left to budget</t>
        </is>
      </c>
      <c r="G41" s="21">
        <f>C18-G40</f>
        <v/>
      </c>
    </row>
  </sheetData>
  <sheetProtection selectLockedCells="0" selectUnlockedCells="0" sheet="1" objects="0" insertRows="0" insertHyperlinks="1" autoFilter="0" scenarios="0" formatColumns="0" deleteColumns="1" insertColumns="1" pivotTables="1" deleteRows="1" formatCells="1" formatRows="0" sort="0"/>
  <conditionalFormatting sqref="G41">
    <cfRule type="cellIs" priority="1" operator="lessThan" dxfId="1">
      <formula>0</formula>
    </cfRule>
  </conditionalFormatting>
  <dataValidations count="1">
    <dataValidation sqref="F10 F11 F12 F13 F14 F15 F16 F17 F18 F19 F20 F21 F22 F23 F24 F25 F26 F27 F28 F29 F30 F31 F32 F33 F34 F35 F36 F37 F38 F39" showDropDown="0" showInputMessage="0" showErrorMessage="0" allowBlank="1" type="list">
      <formula1>"Needs,Wants,Savings,Debt"</formula1>
    </dataValidation>
  </dataValidations>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s>
  <printOptions gridLines="0"/>
  <pageMargins left="0.75" right="0.75" top="1" bottom="1" header="0.5" footer="0.5"/>
  <pageSetup orientation="landscape" fitToHeight="1" fitToWidth="1"/>
</worksheet>
</file>

<file path=xl/worksheets/sheet4.xml><?xml version="1.0" encoding="utf-8"?>
<worksheet xmlns="http://schemas.openxmlformats.org/spreadsheetml/2006/main">
  <sheetPr>
    <tabColor rgb="002F6F5E"/>
    <outlinePr summaryBelow="1" summaryRight="1"/>
    <pageSetUpPr fitToPage="1"/>
  </sheetPr>
  <dimension ref="B2:L86"/>
  <sheetViews>
    <sheetView showGridLines="0" workbookViewId="0">
      <pane ySplit="6" topLeftCell="A7" activePane="bottomLeft" state="frozen"/>
      <selection pane="bottomLeft" activeCell="A1" sqref="A1"/>
    </sheetView>
  </sheetViews>
  <sheetFormatPr baseColWidth="8" defaultRowHeight="15"/>
  <cols>
    <col width="3" customWidth="1" min="1" max="1"/>
    <col width="12" customWidth="1" min="2" max="2"/>
    <col width="26" customWidth="1" min="3" max="3"/>
    <col width="22" customWidth="1" min="4" max="4"/>
    <col width="14" customWidth="1" min="5" max="5"/>
    <col width="14" customWidth="1" min="6" max="6"/>
    <col width="22" customWidth="1" min="7" max="7"/>
    <col width="13" customWidth="1" min="8" max="8"/>
    <col width="13" customWidth="1" min="9" max="9"/>
    <col width="13" customWidth="1" min="10" max="10"/>
    <col width="9"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January</t>
        </is>
      </c>
    </row>
    <row r="3">
      <c r="B3" s="2" t="inlineStr">
        <is>
          <t>Log what you spend. The summary on the right updates itself.</t>
        </is>
      </c>
    </row>
    <row r="4">
      <c r="B4" s="3" t="inlineStr">
        <is>
          <t>Start here</t>
        </is>
      </c>
      <c r="D4" s="3" t="inlineStr">
        <is>
          <t>Dashboard</t>
        </is>
      </c>
      <c r="E4" s="3" t="inlineStr">
        <is>
          <t>Setup</t>
        </is>
      </c>
      <c r="F4" s="3" t="inlineStr">
        <is>
          <t>Months</t>
        </is>
      </c>
      <c r="G4" s="3" t="inlineStr">
        <is>
          <t>Bills</t>
        </is>
      </c>
      <c r="H4" s="3" t="inlineStr">
        <is>
          <t>Paycheck</t>
        </is>
      </c>
      <c r="I4" s="3" t="inlineStr">
        <is>
          <t>Debt</t>
        </is>
      </c>
      <c r="J4" s="3" t="inlineStr">
        <is>
          <t>Savings</t>
        </is>
      </c>
    </row>
    <row r="6" ht="22" customHeight="1">
      <c r="B6" s="9" t="inlineStr">
        <is>
          <t>Date</t>
        </is>
      </c>
      <c r="C6" s="9" t="inlineStr">
        <is>
          <t>What</t>
        </is>
      </c>
      <c r="D6" s="9" t="inlineStr">
        <is>
          <t>Category</t>
        </is>
      </c>
      <c r="E6" s="9" t="inlineStr">
        <is>
          <t>Amount</t>
        </is>
      </c>
      <c r="G6" s="17" t="inlineStr">
        <is>
          <t>Income this month</t>
        </is>
      </c>
      <c r="H6" s="25">
        <f>'Setup'!$C$18</f>
        <v/>
      </c>
      <c r="I6" s="26" t="inlineStr">
        <is>
          <t>Type over this if your income was different</t>
        </is>
      </c>
    </row>
    <row r="7">
      <c r="B7" s="27" t="n">
        <v>46390</v>
      </c>
      <c r="C7" s="28" t="inlineStr">
        <is>
          <t>Rent</t>
        </is>
      </c>
      <c r="D7" s="15" t="inlineStr">
        <is>
          <t>Rent or mortgage</t>
        </is>
      </c>
      <c r="E7" s="24" t="n">
        <v>1200</v>
      </c>
      <c r="G7" s="17" t="inlineStr">
        <is>
          <t>Spent</t>
        </is>
      </c>
      <c r="H7" s="29">
        <f>SUM(E7:E86)</f>
        <v/>
      </c>
    </row>
    <row r="8">
      <c r="B8" s="27" t="n">
        <v>46391</v>
      </c>
      <c r="C8" s="28" t="inlineStr">
        <is>
          <t>Weekly shop</t>
        </is>
      </c>
      <c r="D8" s="15" t="inlineStr">
        <is>
          <t>Groceries</t>
        </is>
      </c>
      <c r="E8" s="24" t="n">
        <v>112.4</v>
      </c>
      <c r="G8" s="17" t="inlineStr">
        <is>
          <t>Left over</t>
        </is>
      </c>
      <c r="H8" s="29">
        <f>H6-H7</f>
        <v/>
      </c>
    </row>
    <row r="9">
      <c r="B9" s="27" t="n">
        <v>46393</v>
      </c>
      <c r="C9" s="28" t="inlineStr">
        <is>
          <t>Bus pass</t>
        </is>
      </c>
      <c r="D9" s="15" t="inlineStr">
        <is>
          <t>Transport</t>
        </is>
      </c>
      <c r="E9" s="24" t="n">
        <v>60</v>
      </c>
      <c r="G9" s="17" t="inlineStr">
        <is>
          <t>Saved and debt paid</t>
        </is>
      </c>
      <c r="H9" s="29">
        <f>SUMPRODUCT(SUMIFS($E$7:$E$86,$D$7:$D$86,'Setup'!$E$10:$E$39)*(('Setup'!$F$10:$F$39="Savings")+('Setup'!$F$10:$F$39="Debt")))</f>
        <v/>
      </c>
    </row>
    <row r="10">
      <c r="B10" s="27" t="n">
        <v>46396</v>
      </c>
      <c r="C10" s="28" t="inlineStr">
        <is>
          <t>Pizza night</t>
        </is>
      </c>
      <c r="D10" s="15" t="inlineStr">
        <is>
          <t>Eating out</t>
        </is>
      </c>
      <c r="E10" s="24" t="n">
        <v>38.5</v>
      </c>
    </row>
    <row r="11" ht="22" customHeight="1">
      <c r="B11" s="27" t="n">
        <v>46398</v>
      </c>
      <c r="C11" s="28" t="inlineStr">
        <is>
          <t>Weekly shop</t>
        </is>
      </c>
      <c r="D11" s="15" t="inlineStr">
        <is>
          <t>Groceries</t>
        </is>
      </c>
      <c r="E11" s="24" t="n">
        <v>96.2</v>
      </c>
      <c r="G11" s="9" t="inlineStr">
        <is>
          <t>Category</t>
        </is>
      </c>
      <c r="H11" s="9" t="inlineStr">
        <is>
          <t>Budget</t>
        </is>
      </c>
      <c r="I11" s="9" t="inlineStr">
        <is>
          <t>Spent</t>
        </is>
      </c>
      <c r="J11" s="9" t="inlineStr">
        <is>
          <t>Left</t>
        </is>
      </c>
      <c r="K11" s="9" t="inlineStr">
        <is>
          <t>Used</t>
        </is>
      </c>
      <c r="L11" s="9" t="inlineStr"/>
    </row>
    <row r="12">
      <c r="B12" s="27" t="n">
        <v>46401</v>
      </c>
      <c r="C12" s="28" t="inlineStr">
        <is>
          <t>Phone bill</t>
        </is>
      </c>
      <c r="D12" s="15" t="inlineStr">
        <is>
          <t>Phone and internet</t>
        </is>
      </c>
      <c r="E12" s="24" t="n">
        <v>55</v>
      </c>
      <c r="G12" s="10">
        <f>IF('Setup'!E10="","",'Setup'!E10)</f>
        <v/>
      </c>
      <c r="H12" s="20">
        <f>IF(G12="","",'Setup'!G10)</f>
        <v/>
      </c>
      <c r="I12" s="20">
        <f>IF(G12="","",SUMIFS($E$7:$E$86,$D$7:$D$86,G12))</f>
        <v/>
      </c>
      <c r="J12" s="20">
        <f>IF(G12="","",H12-I12)</f>
        <v/>
      </c>
      <c r="K12" s="30">
        <f>IF(OR(G12="",H12=0),"",I12/H12)</f>
        <v/>
      </c>
      <c r="L12" s="31">
        <f>IF(K12="","",REPT("█",ROUND(MIN(1,MAX(0,K12))*10,0))&amp;REPT("░",10-ROUND(MIN(1,MAX(0,K12))*10,0)))</f>
        <v/>
      </c>
    </row>
    <row r="13">
      <c r="B13" s="27" t="n">
        <v>46402</v>
      </c>
      <c r="C13" s="28" t="inlineStr">
        <is>
          <t>To emergency fund</t>
        </is>
      </c>
      <c r="D13" s="15" t="inlineStr">
        <is>
          <t>Emergency fund</t>
        </is>
      </c>
      <c r="E13" s="24" t="n">
        <v>200</v>
      </c>
      <c r="G13" s="10">
        <f>IF('Setup'!E11="","",'Setup'!E11)</f>
        <v/>
      </c>
      <c r="H13" s="20">
        <f>IF(G13="","",'Setup'!G11)</f>
        <v/>
      </c>
      <c r="I13" s="20">
        <f>IF(G13="","",SUMIFS($E$7:$E$86,$D$7:$D$86,G13))</f>
        <v/>
      </c>
      <c r="J13" s="20">
        <f>IF(G13="","",H13-I13)</f>
        <v/>
      </c>
      <c r="K13" s="30">
        <f>IF(OR(G13="",H13=0),"",I13/H13)</f>
        <v/>
      </c>
      <c r="L13" s="31">
        <f>IF(K13="","",REPT("█",ROUND(MIN(1,MAX(0,K13))*10,0))&amp;REPT("░",10-ROUND(MIN(1,MAX(0,K13))*10,0)))</f>
        <v/>
      </c>
    </row>
    <row r="14">
      <c r="B14" s="27" t="n">
        <v>46405</v>
      </c>
      <c r="C14" s="28" t="inlineStr">
        <is>
          <t>Streaming</t>
        </is>
      </c>
      <c r="D14" s="15" t="inlineStr">
        <is>
          <t>Subscriptions</t>
        </is>
      </c>
      <c r="E14" s="24" t="n">
        <v>15.99</v>
      </c>
      <c r="G14" s="10">
        <f>IF('Setup'!E12="","",'Setup'!E12)</f>
        <v/>
      </c>
      <c r="H14" s="20">
        <f>IF(G14="","",'Setup'!G12)</f>
        <v/>
      </c>
      <c r="I14" s="20">
        <f>IF(G14="","",SUMIFS($E$7:$E$86,$D$7:$D$86,G14))</f>
        <v/>
      </c>
      <c r="J14" s="20">
        <f>IF(G14="","",H14-I14)</f>
        <v/>
      </c>
      <c r="K14" s="30">
        <f>IF(OR(G14="",H14=0),"",I14/H14)</f>
        <v/>
      </c>
      <c r="L14" s="31">
        <f>IF(K14="","",REPT("█",ROUND(MIN(1,MAX(0,K14))*10,0))&amp;REPT("░",10-ROUND(MIN(1,MAX(0,K14))*10,0)))</f>
        <v/>
      </c>
    </row>
    <row r="15">
      <c r="B15" s="27" t="n">
        <v>46408</v>
      </c>
      <c r="C15" s="28" t="inlineStr">
        <is>
          <t>Card payment</t>
        </is>
      </c>
      <c r="D15" s="15" t="inlineStr">
        <is>
          <t>Credit card</t>
        </is>
      </c>
      <c r="E15" s="24" t="n">
        <v>150</v>
      </c>
      <c r="G15" s="10">
        <f>IF('Setup'!E13="","",'Setup'!E13)</f>
        <v/>
      </c>
      <c r="H15" s="20">
        <f>IF(G15="","",'Setup'!G13)</f>
        <v/>
      </c>
      <c r="I15" s="20">
        <f>IF(G15="","",SUMIFS($E$7:$E$86,$D$7:$D$86,G15))</f>
        <v/>
      </c>
      <c r="J15" s="20">
        <f>IF(G15="","",H15-I15)</f>
        <v/>
      </c>
      <c r="K15" s="30">
        <f>IF(OR(G15="",H15=0),"",I15/H15)</f>
        <v/>
      </c>
      <c r="L15" s="31">
        <f>IF(K15="","",REPT("█",ROUND(MIN(1,MAX(0,K15))*10,0))&amp;REPT("░",10-ROUND(MIN(1,MAX(0,K15))*10,0)))</f>
        <v/>
      </c>
    </row>
    <row r="16">
      <c r="B16" s="27" t="n">
        <v>46411</v>
      </c>
      <c r="C16" s="28" t="inlineStr">
        <is>
          <t>Concert tickets</t>
        </is>
      </c>
      <c r="D16" s="15" t="inlineStr">
        <is>
          <t>Fun</t>
        </is>
      </c>
      <c r="E16" s="24" t="n">
        <v>120</v>
      </c>
      <c r="G16" s="10">
        <f>IF('Setup'!E14="","",'Setup'!E14)</f>
        <v/>
      </c>
      <c r="H16" s="20">
        <f>IF(G16="","",'Setup'!G14)</f>
        <v/>
      </c>
      <c r="I16" s="20">
        <f>IF(G16="","",SUMIFS($E$7:$E$86,$D$7:$D$86,G16))</f>
        <v/>
      </c>
      <c r="J16" s="20">
        <f>IF(G16="","",H16-I16)</f>
        <v/>
      </c>
      <c r="K16" s="30">
        <f>IF(OR(G16="",H16=0),"",I16/H16)</f>
        <v/>
      </c>
      <c r="L16" s="31">
        <f>IF(K16="","",REPT("█",ROUND(MIN(1,MAX(0,K16))*10,0))&amp;REPT("░",10-ROUND(MIN(1,MAX(0,K16))*10,0)))</f>
        <v/>
      </c>
    </row>
    <row r="17">
      <c r="B17" s="27" t="n">
        <v>46412</v>
      </c>
      <c r="C17" s="28" t="inlineStr">
        <is>
          <t>Shoes</t>
        </is>
      </c>
      <c r="D17" s="15" t="inlineStr">
        <is>
          <t>Shopping</t>
        </is>
      </c>
      <c r="E17" s="24" t="n">
        <v>64</v>
      </c>
      <c r="G17" s="10">
        <f>IF('Setup'!E15="","",'Setup'!E15)</f>
        <v/>
      </c>
      <c r="H17" s="20">
        <f>IF(G17="","",'Setup'!G15)</f>
        <v/>
      </c>
      <c r="I17" s="20">
        <f>IF(G17="","",SUMIFS($E$7:$E$86,$D$7:$D$86,G17))</f>
        <v/>
      </c>
      <c r="J17" s="20">
        <f>IF(G17="","",H17-I17)</f>
        <v/>
      </c>
      <c r="K17" s="30">
        <f>IF(OR(G17="",H17=0),"",I17/H17)</f>
        <v/>
      </c>
      <c r="L17" s="31">
        <f>IF(K17="","",REPT("█",ROUND(MIN(1,MAX(0,K17))*10,0))&amp;REPT("░",10-ROUND(MIN(1,MAX(0,K17))*10,0)))</f>
        <v/>
      </c>
    </row>
    <row r="18">
      <c r="B18" s="27" t="n"/>
      <c r="C18" s="28" t="n"/>
      <c r="D18" s="15" t="n"/>
      <c r="E18" s="24" t="n"/>
      <c r="G18" s="10">
        <f>IF('Setup'!E16="","",'Setup'!E16)</f>
        <v/>
      </c>
      <c r="H18" s="20">
        <f>IF(G18="","",'Setup'!G16)</f>
        <v/>
      </c>
      <c r="I18" s="20">
        <f>IF(G18="","",SUMIFS($E$7:$E$86,$D$7:$D$86,G18))</f>
        <v/>
      </c>
      <c r="J18" s="20">
        <f>IF(G18="","",H18-I18)</f>
        <v/>
      </c>
      <c r="K18" s="30">
        <f>IF(OR(G18="",H18=0),"",I18/H18)</f>
        <v/>
      </c>
      <c r="L18" s="31">
        <f>IF(K18="","",REPT("█",ROUND(MIN(1,MAX(0,K18))*10,0))&amp;REPT("░",10-ROUND(MIN(1,MAX(0,K18))*10,0)))</f>
        <v/>
      </c>
    </row>
    <row r="19">
      <c r="B19" s="27" t="n"/>
      <c r="C19" s="28" t="n"/>
      <c r="D19" s="15" t="n"/>
      <c r="E19" s="24" t="n"/>
      <c r="G19" s="10">
        <f>IF('Setup'!E17="","",'Setup'!E17)</f>
        <v/>
      </c>
      <c r="H19" s="20">
        <f>IF(G19="","",'Setup'!G17)</f>
        <v/>
      </c>
      <c r="I19" s="20">
        <f>IF(G19="","",SUMIFS($E$7:$E$86,$D$7:$D$86,G19))</f>
        <v/>
      </c>
      <c r="J19" s="20">
        <f>IF(G19="","",H19-I19)</f>
        <v/>
      </c>
      <c r="K19" s="30">
        <f>IF(OR(G19="",H19=0),"",I19/H19)</f>
        <v/>
      </c>
      <c r="L19" s="31">
        <f>IF(K19="","",REPT("█",ROUND(MIN(1,MAX(0,K19))*10,0))&amp;REPT("░",10-ROUND(MIN(1,MAX(0,K19))*10,0)))</f>
        <v/>
      </c>
    </row>
    <row r="20">
      <c r="B20" s="27" t="n"/>
      <c r="C20" s="28" t="n"/>
      <c r="D20" s="15" t="n"/>
      <c r="E20" s="24" t="n"/>
      <c r="G20" s="10">
        <f>IF('Setup'!E18="","",'Setup'!E18)</f>
        <v/>
      </c>
      <c r="H20" s="20">
        <f>IF(G20="","",'Setup'!G18)</f>
        <v/>
      </c>
      <c r="I20" s="20">
        <f>IF(G20="","",SUMIFS($E$7:$E$86,$D$7:$D$86,G20))</f>
        <v/>
      </c>
      <c r="J20" s="20">
        <f>IF(G20="","",H20-I20)</f>
        <v/>
      </c>
      <c r="K20" s="30">
        <f>IF(OR(G20="",H20=0),"",I20/H20)</f>
        <v/>
      </c>
      <c r="L20" s="31">
        <f>IF(K20="","",REPT("█",ROUND(MIN(1,MAX(0,K20))*10,0))&amp;REPT("░",10-ROUND(MIN(1,MAX(0,K20))*10,0)))</f>
        <v/>
      </c>
    </row>
    <row r="21">
      <c r="B21" s="27" t="n"/>
      <c r="C21" s="28" t="n"/>
      <c r="D21" s="15" t="n"/>
      <c r="E21" s="24" t="n"/>
      <c r="G21" s="10">
        <f>IF('Setup'!E19="","",'Setup'!E19)</f>
        <v/>
      </c>
      <c r="H21" s="20">
        <f>IF(G21="","",'Setup'!G19)</f>
        <v/>
      </c>
      <c r="I21" s="20">
        <f>IF(G21="","",SUMIFS($E$7:$E$86,$D$7:$D$86,G21))</f>
        <v/>
      </c>
      <c r="J21" s="20">
        <f>IF(G21="","",H21-I21)</f>
        <v/>
      </c>
      <c r="K21" s="30">
        <f>IF(OR(G21="",H21=0),"",I21/H21)</f>
        <v/>
      </c>
      <c r="L21" s="31">
        <f>IF(K21="","",REPT("█",ROUND(MIN(1,MAX(0,K21))*10,0))&amp;REPT("░",10-ROUND(MIN(1,MAX(0,K21))*10,0)))</f>
        <v/>
      </c>
    </row>
    <row r="22">
      <c r="B22" s="27" t="n"/>
      <c r="C22" s="28" t="n"/>
      <c r="D22" s="15" t="n"/>
      <c r="E22" s="24" t="n"/>
      <c r="G22" s="10">
        <f>IF('Setup'!E20="","",'Setup'!E20)</f>
        <v/>
      </c>
      <c r="H22" s="20">
        <f>IF(G22="","",'Setup'!G20)</f>
        <v/>
      </c>
      <c r="I22" s="20">
        <f>IF(G22="","",SUMIFS($E$7:$E$86,$D$7:$D$86,G22))</f>
        <v/>
      </c>
      <c r="J22" s="20">
        <f>IF(G22="","",H22-I22)</f>
        <v/>
      </c>
      <c r="K22" s="30">
        <f>IF(OR(G22="",H22=0),"",I22/H22)</f>
        <v/>
      </c>
      <c r="L22" s="31">
        <f>IF(K22="","",REPT("█",ROUND(MIN(1,MAX(0,K22))*10,0))&amp;REPT("░",10-ROUND(MIN(1,MAX(0,K22))*10,0)))</f>
        <v/>
      </c>
    </row>
    <row r="23">
      <c r="B23" s="27" t="n"/>
      <c r="C23" s="28" t="n"/>
      <c r="D23" s="15" t="n"/>
      <c r="E23" s="24" t="n"/>
      <c r="G23" s="10">
        <f>IF('Setup'!E21="","",'Setup'!E21)</f>
        <v/>
      </c>
      <c r="H23" s="20">
        <f>IF(G23="","",'Setup'!G21)</f>
        <v/>
      </c>
      <c r="I23" s="20">
        <f>IF(G23="","",SUMIFS($E$7:$E$86,$D$7:$D$86,G23))</f>
        <v/>
      </c>
      <c r="J23" s="20">
        <f>IF(G23="","",H23-I23)</f>
        <v/>
      </c>
      <c r="K23" s="30">
        <f>IF(OR(G23="",H23=0),"",I23/H23)</f>
        <v/>
      </c>
      <c r="L23" s="31">
        <f>IF(K23="","",REPT("█",ROUND(MIN(1,MAX(0,K23))*10,0))&amp;REPT("░",10-ROUND(MIN(1,MAX(0,K23))*10,0)))</f>
        <v/>
      </c>
    </row>
    <row r="24">
      <c r="B24" s="27" t="n"/>
      <c r="C24" s="28" t="n"/>
      <c r="D24" s="15" t="n"/>
      <c r="E24" s="24" t="n"/>
      <c r="G24" s="10">
        <f>IF('Setup'!E22="","",'Setup'!E22)</f>
        <v/>
      </c>
      <c r="H24" s="20">
        <f>IF(G24="","",'Setup'!G22)</f>
        <v/>
      </c>
      <c r="I24" s="20">
        <f>IF(G24="","",SUMIFS($E$7:$E$86,$D$7:$D$86,G24))</f>
        <v/>
      </c>
      <c r="J24" s="20">
        <f>IF(G24="","",H24-I24)</f>
        <v/>
      </c>
      <c r="K24" s="30">
        <f>IF(OR(G24="",H24=0),"",I24/H24)</f>
        <v/>
      </c>
      <c r="L24" s="31">
        <f>IF(K24="","",REPT("█",ROUND(MIN(1,MAX(0,K24))*10,0))&amp;REPT("░",10-ROUND(MIN(1,MAX(0,K24))*10,0)))</f>
        <v/>
      </c>
    </row>
    <row r="25">
      <c r="B25" s="27" t="n"/>
      <c r="C25" s="28" t="n"/>
      <c r="D25" s="15" t="n"/>
      <c r="E25" s="24" t="n"/>
      <c r="G25" s="10">
        <f>IF('Setup'!E23="","",'Setup'!E23)</f>
        <v/>
      </c>
      <c r="H25" s="20">
        <f>IF(G25="","",'Setup'!G23)</f>
        <v/>
      </c>
      <c r="I25" s="20">
        <f>IF(G25="","",SUMIFS($E$7:$E$86,$D$7:$D$86,G25))</f>
        <v/>
      </c>
      <c r="J25" s="20">
        <f>IF(G25="","",H25-I25)</f>
        <v/>
      </c>
      <c r="K25" s="30">
        <f>IF(OR(G25="",H25=0),"",I25/H25)</f>
        <v/>
      </c>
      <c r="L25" s="31">
        <f>IF(K25="","",REPT("█",ROUND(MIN(1,MAX(0,K25))*10,0))&amp;REPT("░",10-ROUND(MIN(1,MAX(0,K25))*10,0)))</f>
        <v/>
      </c>
    </row>
    <row r="26">
      <c r="B26" s="27" t="n"/>
      <c r="C26" s="28" t="n"/>
      <c r="D26" s="15" t="n"/>
      <c r="E26" s="24" t="n"/>
      <c r="G26" s="10">
        <f>IF('Setup'!E24="","",'Setup'!E24)</f>
        <v/>
      </c>
      <c r="H26" s="20">
        <f>IF(G26="","",'Setup'!G24)</f>
        <v/>
      </c>
      <c r="I26" s="20">
        <f>IF(G26="","",SUMIFS($E$7:$E$86,$D$7:$D$86,G26))</f>
        <v/>
      </c>
      <c r="J26" s="20">
        <f>IF(G26="","",H26-I26)</f>
        <v/>
      </c>
      <c r="K26" s="30">
        <f>IF(OR(G26="",H26=0),"",I26/H26)</f>
        <v/>
      </c>
      <c r="L26" s="31">
        <f>IF(K26="","",REPT("█",ROUND(MIN(1,MAX(0,K26))*10,0))&amp;REPT("░",10-ROUND(MIN(1,MAX(0,K26))*10,0)))</f>
        <v/>
      </c>
    </row>
    <row r="27">
      <c r="B27" s="27" t="n"/>
      <c r="C27" s="28" t="n"/>
      <c r="D27" s="15" t="n"/>
      <c r="E27" s="24" t="n"/>
      <c r="G27" s="10">
        <f>IF('Setup'!E25="","",'Setup'!E25)</f>
        <v/>
      </c>
      <c r="H27" s="20">
        <f>IF(G27="","",'Setup'!G25)</f>
        <v/>
      </c>
      <c r="I27" s="20">
        <f>IF(G27="","",SUMIFS($E$7:$E$86,$D$7:$D$86,G27))</f>
        <v/>
      </c>
      <c r="J27" s="20">
        <f>IF(G27="","",H27-I27)</f>
        <v/>
      </c>
      <c r="K27" s="30">
        <f>IF(OR(G27="",H27=0),"",I27/H27)</f>
        <v/>
      </c>
      <c r="L27" s="31">
        <f>IF(K27="","",REPT("█",ROUND(MIN(1,MAX(0,K27))*10,0))&amp;REPT("░",10-ROUND(MIN(1,MAX(0,K27))*10,0)))</f>
        <v/>
      </c>
    </row>
    <row r="28">
      <c r="B28" s="27" t="n"/>
      <c r="C28" s="28" t="n"/>
      <c r="D28" s="15" t="n"/>
      <c r="E28" s="24" t="n"/>
      <c r="G28" s="10">
        <f>IF('Setup'!E26="","",'Setup'!E26)</f>
        <v/>
      </c>
      <c r="H28" s="20">
        <f>IF(G28="","",'Setup'!G26)</f>
        <v/>
      </c>
      <c r="I28" s="20">
        <f>IF(G28="","",SUMIFS($E$7:$E$86,$D$7:$D$86,G28))</f>
        <v/>
      </c>
      <c r="J28" s="20">
        <f>IF(G28="","",H28-I28)</f>
        <v/>
      </c>
      <c r="K28" s="30">
        <f>IF(OR(G28="",H28=0),"",I28/H28)</f>
        <v/>
      </c>
      <c r="L28" s="31">
        <f>IF(K28="","",REPT("█",ROUND(MIN(1,MAX(0,K28))*10,0))&amp;REPT("░",10-ROUND(MIN(1,MAX(0,K28))*10,0)))</f>
        <v/>
      </c>
    </row>
    <row r="29">
      <c r="B29" s="27" t="n"/>
      <c r="C29" s="28" t="n"/>
      <c r="D29" s="15" t="n"/>
      <c r="E29" s="24" t="n"/>
      <c r="G29" s="10">
        <f>IF('Setup'!E27="","",'Setup'!E27)</f>
        <v/>
      </c>
      <c r="H29" s="20">
        <f>IF(G29="","",'Setup'!G27)</f>
        <v/>
      </c>
      <c r="I29" s="20">
        <f>IF(G29="","",SUMIFS($E$7:$E$86,$D$7:$D$86,G29))</f>
        <v/>
      </c>
      <c r="J29" s="20">
        <f>IF(G29="","",H29-I29)</f>
        <v/>
      </c>
      <c r="K29" s="30">
        <f>IF(OR(G29="",H29=0),"",I29/H29)</f>
        <v/>
      </c>
      <c r="L29" s="31">
        <f>IF(K29="","",REPT("█",ROUND(MIN(1,MAX(0,K29))*10,0))&amp;REPT("░",10-ROUND(MIN(1,MAX(0,K29))*10,0)))</f>
        <v/>
      </c>
    </row>
    <row r="30">
      <c r="B30" s="27" t="n"/>
      <c r="C30" s="28" t="n"/>
      <c r="D30" s="15" t="n"/>
      <c r="E30" s="24" t="n"/>
      <c r="G30" s="10">
        <f>IF('Setup'!E28="","",'Setup'!E28)</f>
        <v/>
      </c>
      <c r="H30" s="20">
        <f>IF(G30="","",'Setup'!G28)</f>
        <v/>
      </c>
      <c r="I30" s="20">
        <f>IF(G30="","",SUMIFS($E$7:$E$86,$D$7:$D$86,G30))</f>
        <v/>
      </c>
      <c r="J30" s="20">
        <f>IF(G30="","",H30-I30)</f>
        <v/>
      </c>
      <c r="K30" s="30">
        <f>IF(OR(G30="",H30=0),"",I30/H30)</f>
        <v/>
      </c>
      <c r="L30" s="31">
        <f>IF(K30="","",REPT("█",ROUND(MIN(1,MAX(0,K30))*10,0))&amp;REPT("░",10-ROUND(MIN(1,MAX(0,K30))*10,0)))</f>
        <v/>
      </c>
    </row>
    <row r="31">
      <c r="B31" s="27" t="n"/>
      <c r="C31" s="28" t="n"/>
      <c r="D31" s="15" t="n"/>
      <c r="E31" s="24" t="n"/>
      <c r="G31" s="10">
        <f>IF('Setup'!E29="","",'Setup'!E29)</f>
        <v/>
      </c>
      <c r="H31" s="20">
        <f>IF(G31="","",'Setup'!G29)</f>
        <v/>
      </c>
      <c r="I31" s="20">
        <f>IF(G31="","",SUMIFS($E$7:$E$86,$D$7:$D$86,G31))</f>
        <v/>
      </c>
      <c r="J31" s="20">
        <f>IF(G31="","",H31-I31)</f>
        <v/>
      </c>
      <c r="K31" s="30">
        <f>IF(OR(G31="",H31=0),"",I31/H31)</f>
        <v/>
      </c>
      <c r="L31" s="31">
        <f>IF(K31="","",REPT("█",ROUND(MIN(1,MAX(0,K31))*10,0))&amp;REPT("░",10-ROUND(MIN(1,MAX(0,K31))*10,0)))</f>
        <v/>
      </c>
    </row>
    <row r="32">
      <c r="B32" s="27" t="n"/>
      <c r="C32" s="28" t="n"/>
      <c r="D32" s="15" t="n"/>
      <c r="E32" s="24" t="n"/>
      <c r="G32" s="10">
        <f>IF('Setup'!E30="","",'Setup'!E30)</f>
        <v/>
      </c>
      <c r="H32" s="20">
        <f>IF(G32="","",'Setup'!G30)</f>
        <v/>
      </c>
      <c r="I32" s="20">
        <f>IF(G32="","",SUMIFS($E$7:$E$86,$D$7:$D$86,G32))</f>
        <v/>
      </c>
      <c r="J32" s="20">
        <f>IF(G32="","",H32-I32)</f>
        <v/>
      </c>
      <c r="K32" s="30">
        <f>IF(OR(G32="",H32=0),"",I32/H32)</f>
        <v/>
      </c>
      <c r="L32" s="31">
        <f>IF(K32="","",REPT("█",ROUND(MIN(1,MAX(0,K32))*10,0))&amp;REPT("░",10-ROUND(MIN(1,MAX(0,K32))*10,0)))</f>
        <v/>
      </c>
    </row>
    <row r="33">
      <c r="B33" s="27" t="n"/>
      <c r="C33" s="28" t="n"/>
      <c r="D33" s="15" t="n"/>
      <c r="E33" s="24" t="n"/>
      <c r="G33" s="10">
        <f>IF('Setup'!E31="","",'Setup'!E31)</f>
        <v/>
      </c>
      <c r="H33" s="20">
        <f>IF(G33="","",'Setup'!G31)</f>
        <v/>
      </c>
      <c r="I33" s="20">
        <f>IF(G33="","",SUMIFS($E$7:$E$86,$D$7:$D$86,G33))</f>
        <v/>
      </c>
      <c r="J33" s="20">
        <f>IF(G33="","",H33-I33)</f>
        <v/>
      </c>
      <c r="K33" s="30">
        <f>IF(OR(G33="",H33=0),"",I33/H33)</f>
        <v/>
      </c>
      <c r="L33" s="31">
        <f>IF(K33="","",REPT("█",ROUND(MIN(1,MAX(0,K33))*10,0))&amp;REPT("░",10-ROUND(MIN(1,MAX(0,K33))*10,0)))</f>
        <v/>
      </c>
    </row>
    <row r="34">
      <c r="B34" s="27" t="n"/>
      <c r="C34" s="28" t="n"/>
      <c r="D34" s="15" t="n"/>
      <c r="E34" s="24" t="n"/>
      <c r="G34" s="10">
        <f>IF('Setup'!E32="","",'Setup'!E32)</f>
        <v/>
      </c>
      <c r="H34" s="20">
        <f>IF(G34="","",'Setup'!G32)</f>
        <v/>
      </c>
      <c r="I34" s="20">
        <f>IF(G34="","",SUMIFS($E$7:$E$86,$D$7:$D$86,G34))</f>
        <v/>
      </c>
      <c r="J34" s="20">
        <f>IF(G34="","",H34-I34)</f>
        <v/>
      </c>
      <c r="K34" s="30">
        <f>IF(OR(G34="",H34=0),"",I34/H34)</f>
        <v/>
      </c>
      <c r="L34" s="31">
        <f>IF(K34="","",REPT("█",ROUND(MIN(1,MAX(0,K34))*10,0))&amp;REPT("░",10-ROUND(MIN(1,MAX(0,K34))*10,0)))</f>
        <v/>
      </c>
    </row>
    <row r="35">
      <c r="B35" s="27" t="n"/>
      <c r="C35" s="28" t="n"/>
      <c r="D35" s="15" t="n"/>
      <c r="E35" s="24" t="n"/>
      <c r="G35" s="10">
        <f>IF('Setup'!E33="","",'Setup'!E33)</f>
        <v/>
      </c>
      <c r="H35" s="20">
        <f>IF(G35="","",'Setup'!G33)</f>
        <v/>
      </c>
      <c r="I35" s="20">
        <f>IF(G35="","",SUMIFS($E$7:$E$86,$D$7:$D$86,G35))</f>
        <v/>
      </c>
      <c r="J35" s="20">
        <f>IF(G35="","",H35-I35)</f>
        <v/>
      </c>
      <c r="K35" s="30">
        <f>IF(OR(G35="",H35=0),"",I35/H35)</f>
        <v/>
      </c>
      <c r="L35" s="31">
        <f>IF(K35="","",REPT("█",ROUND(MIN(1,MAX(0,K35))*10,0))&amp;REPT("░",10-ROUND(MIN(1,MAX(0,K35))*10,0)))</f>
        <v/>
      </c>
    </row>
    <row r="36">
      <c r="B36" s="27" t="n"/>
      <c r="C36" s="28" t="n"/>
      <c r="D36" s="15" t="n"/>
      <c r="E36" s="24" t="n"/>
      <c r="G36" s="10">
        <f>IF('Setup'!E34="","",'Setup'!E34)</f>
        <v/>
      </c>
      <c r="H36" s="20">
        <f>IF(G36="","",'Setup'!G34)</f>
        <v/>
      </c>
      <c r="I36" s="20">
        <f>IF(G36="","",SUMIFS($E$7:$E$86,$D$7:$D$86,G36))</f>
        <v/>
      </c>
      <c r="J36" s="20">
        <f>IF(G36="","",H36-I36)</f>
        <v/>
      </c>
      <c r="K36" s="30">
        <f>IF(OR(G36="",H36=0),"",I36/H36)</f>
        <v/>
      </c>
      <c r="L36" s="31">
        <f>IF(K36="","",REPT("█",ROUND(MIN(1,MAX(0,K36))*10,0))&amp;REPT("░",10-ROUND(MIN(1,MAX(0,K36))*10,0)))</f>
        <v/>
      </c>
    </row>
    <row r="37">
      <c r="B37" s="27" t="n"/>
      <c r="C37" s="28" t="n"/>
      <c r="D37" s="15" t="n"/>
      <c r="E37" s="24" t="n"/>
      <c r="G37" s="10">
        <f>IF('Setup'!E35="","",'Setup'!E35)</f>
        <v/>
      </c>
      <c r="H37" s="20">
        <f>IF(G37="","",'Setup'!G35)</f>
        <v/>
      </c>
      <c r="I37" s="20">
        <f>IF(G37="","",SUMIFS($E$7:$E$86,$D$7:$D$86,G37))</f>
        <v/>
      </c>
      <c r="J37" s="20">
        <f>IF(G37="","",H37-I37)</f>
        <v/>
      </c>
      <c r="K37" s="30">
        <f>IF(OR(G37="",H37=0),"",I37/H37)</f>
        <v/>
      </c>
      <c r="L37" s="31">
        <f>IF(K37="","",REPT("█",ROUND(MIN(1,MAX(0,K37))*10,0))&amp;REPT("░",10-ROUND(MIN(1,MAX(0,K37))*10,0)))</f>
        <v/>
      </c>
    </row>
    <row r="38">
      <c r="B38" s="27" t="n"/>
      <c r="C38" s="28" t="n"/>
      <c r="D38" s="15" t="n"/>
      <c r="E38" s="24" t="n"/>
      <c r="G38" s="10">
        <f>IF('Setup'!E36="","",'Setup'!E36)</f>
        <v/>
      </c>
      <c r="H38" s="20">
        <f>IF(G38="","",'Setup'!G36)</f>
        <v/>
      </c>
      <c r="I38" s="20">
        <f>IF(G38="","",SUMIFS($E$7:$E$86,$D$7:$D$86,G38))</f>
        <v/>
      </c>
      <c r="J38" s="20">
        <f>IF(G38="","",H38-I38)</f>
        <v/>
      </c>
      <c r="K38" s="30">
        <f>IF(OR(G38="",H38=0),"",I38/H38)</f>
        <v/>
      </c>
      <c r="L38" s="31">
        <f>IF(K38="","",REPT("█",ROUND(MIN(1,MAX(0,K38))*10,0))&amp;REPT("░",10-ROUND(MIN(1,MAX(0,K38))*10,0)))</f>
        <v/>
      </c>
    </row>
    <row r="39">
      <c r="B39" s="27" t="n"/>
      <c r="C39" s="28" t="n"/>
      <c r="D39" s="15" t="n"/>
      <c r="E39" s="24" t="n"/>
      <c r="G39" s="10">
        <f>IF('Setup'!E37="","",'Setup'!E37)</f>
        <v/>
      </c>
      <c r="H39" s="20">
        <f>IF(G39="","",'Setup'!G37)</f>
        <v/>
      </c>
      <c r="I39" s="20">
        <f>IF(G39="","",SUMIFS($E$7:$E$86,$D$7:$D$86,G39))</f>
        <v/>
      </c>
      <c r="J39" s="20">
        <f>IF(G39="","",H39-I39)</f>
        <v/>
      </c>
      <c r="K39" s="30">
        <f>IF(OR(G39="",H39=0),"",I39/H39)</f>
        <v/>
      </c>
      <c r="L39" s="31">
        <f>IF(K39="","",REPT("█",ROUND(MIN(1,MAX(0,K39))*10,0))&amp;REPT("░",10-ROUND(MIN(1,MAX(0,K39))*10,0)))</f>
        <v/>
      </c>
    </row>
    <row r="40">
      <c r="B40" s="27" t="n"/>
      <c r="C40" s="28" t="n"/>
      <c r="D40" s="15" t="n"/>
      <c r="E40" s="24" t="n"/>
      <c r="G40" s="10">
        <f>IF('Setup'!E38="","",'Setup'!E38)</f>
        <v/>
      </c>
      <c r="H40" s="20">
        <f>IF(G40="","",'Setup'!G38)</f>
        <v/>
      </c>
      <c r="I40" s="20">
        <f>IF(G40="","",SUMIFS($E$7:$E$86,$D$7:$D$86,G40))</f>
        <v/>
      </c>
      <c r="J40" s="20">
        <f>IF(G40="","",H40-I40)</f>
        <v/>
      </c>
      <c r="K40" s="30">
        <f>IF(OR(G40="",H40=0),"",I40/H40)</f>
        <v/>
      </c>
      <c r="L40" s="31">
        <f>IF(K40="","",REPT("█",ROUND(MIN(1,MAX(0,K40))*10,0))&amp;REPT("░",10-ROUND(MIN(1,MAX(0,K40))*10,0)))</f>
        <v/>
      </c>
    </row>
    <row r="41">
      <c r="B41" s="27" t="n"/>
      <c r="C41" s="28" t="n"/>
      <c r="D41" s="15" t="n"/>
      <c r="E41" s="24" t="n"/>
      <c r="G41" s="10">
        <f>IF('Setup'!E39="","",'Setup'!E39)</f>
        <v/>
      </c>
      <c r="H41" s="20">
        <f>IF(G41="","",'Setup'!G39)</f>
        <v/>
      </c>
      <c r="I41" s="20">
        <f>IF(G41="","",SUMIFS($E$7:$E$86,$D$7:$D$86,G41))</f>
        <v/>
      </c>
      <c r="J41" s="20">
        <f>IF(G41="","",H41-I41)</f>
        <v/>
      </c>
      <c r="K41" s="30">
        <f>IF(OR(G41="",H41=0),"",I41/H41)</f>
        <v/>
      </c>
      <c r="L41" s="31">
        <f>IF(K41="","",REPT("█",ROUND(MIN(1,MAX(0,K41))*10,0))&amp;REPT("░",10-ROUND(MIN(1,MAX(0,K41))*10,0)))</f>
        <v/>
      </c>
    </row>
    <row r="42">
      <c r="B42" s="27" t="n"/>
      <c r="C42" s="28" t="n"/>
      <c r="D42" s="15" t="n"/>
      <c r="E42" s="24" t="n"/>
    </row>
    <row r="43">
      <c r="B43" s="27" t="n"/>
      <c r="C43" s="28" t="n"/>
      <c r="D43" s="15" t="n"/>
      <c r="E43" s="24" t="n"/>
    </row>
    <row r="44">
      <c r="B44" s="27" t="n"/>
      <c r="C44" s="28" t="n"/>
      <c r="D44" s="15" t="n"/>
      <c r="E44" s="24" t="n"/>
    </row>
    <row r="45">
      <c r="B45" s="27" t="n"/>
      <c r="C45" s="28" t="n"/>
      <c r="D45" s="15" t="n"/>
      <c r="E45" s="24" t="n"/>
    </row>
    <row r="46">
      <c r="B46" s="27" t="n"/>
      <c r="C46" s="28" t="n"/>
      <c r="D46" s="15" t="n"/>
      <c r="E46" s="24" t="n"/>
    </row>
    <row r="47">
      <c r="B47" s="27" t="n"/>
      <c r="C47" s="28" t="n"/>
      <c r="D47" s="15" t="n"/>
      <c r="E47" s="24" t="n"/>
    </row>
    <row r="48">
      <c r="B48" s="27" t="n"/>
      <c r="C48" s="28" t="n"/>
      <c r="D48" s="15" t="n"/>
      <c r="E48" s="24" t="n"/>
    </row>
    <row r="49">
      <c r="B49" s="27" t="n"/>
      <c r="C49" s="28" t="n"/>
      <c r="D49" s="15" t="n"/>
      <c r="E49" s="24" t="n"/>
    </row>
    <row r="50">
      <c r="B50" s="27" t="n"/>
      <c r="C50" s="28" t="n"/>
      <c r="D50" s="15" t="n"/>
      <c r="E50" s="24" t="n"/>
    </row>
    <row r="51">
      <c r="B51" s="27" t="n"/>
      <c r="C51" s="28" t="n"/>
      <c r="D51" s="15" t="n"/>
      <c r="E51" s="24" t="n"/>
    </row>
    <row r="52">
      <c r="B52" s="27" t="n"/>
      <c r="C52" s="28" t="n"/>
      <c r="D52" s="15" t="n"/>
      <c r="E52" s="24" t="n"/>
    </row>
    <row r="53">
      <c r="B53" s="27" t="n"/>
      <c r="C53" s="28" t="n"/>
      <c r="D53" s="15" t="n"/>
      <c r="E53" s="24" t="n"/>
    </row>
    <row r="54">
      <c r="B54" s="27" t="n"/>
      <c r="C54" s="28" t="n"/>
      <c r="D54" s="15" t="n"/>
      <c r="E54" s="24" t="n"/>
    </row>
    <row r="55">
      <c r="B55" s="27" t="n"/>
      <c r="C55" s="28" t="n"/>
      <c r="D55" s="15" t="n"/>
      <c r="E55" s="24" t="n"/>
    </row>
    <row r="56">
      <c r="B56" s="27" t="n"/>
      <c r="C56" s="28" t="n"/>
      <c r="D56" s="15" t="n"/>
      <c r="E56" s="24" t="n"/>
    </row>
    <row r="57">
      <c r="B57" s="27" t="n"/>
      <c r="C57" s="28" t="n"/>
      <c r="D57" s="15" t="n"/>
      <c r="E57" s="24" t="n"/>
    </row>
    <row r="58">
      <c r="B58" s="27" t="n"/>
      <c r="C58" s="28" t="n"/>
      <c r="D58" s="15" t="n"/>
      <c r="E58" s="24" t="n"/>
    </row>
    <row r="59">
      <c r="B59" s="27" t="n"/>
      <c r="C59" s="28" t="n"/>
      <c r="D59" s="15" t="n"/>
      <c r="E59" s="24" t="n"/>
    </row>
    <row r="60">
      <c r="B60" s="27" t="n"/>
      <c r="C60" s="28" t="n"/>
      <c r="D60" s="15" t="n"/>
      <c r="E60" s="24" t="n"/>
    </row>
    <row r="61">
      <c r="B61" s="27" t="n"/>
      <c r="C61" s="28" t="n"/>
      <c r="D61" s="15" t="n"/>
      <c r="E61" s="24" t="n"/>
    </row>
    <row r="62">
      <c r="B62" s="27" t="n"/>
      <c r="C62" s="28" t="n"/>
      <c r="D62" s="15" t="n"/>
      <c r="E62" s="24" t="n"/>
    </row>
    <row r="63">
      <c r="B63" s="27" t="n"/>
      <c r="C63" s="28" t="n"/>
      <c r="D63" s="15" t="n"/>
      <c r="E63" s="24" t="n"/>
    </row>
    <row r="64">
      <c r="B64" s="27" t="n"/>
      <c r="C64" s="28" t="n"/>
      <c r="D64" s="15" t="n"/>
      <c r="E64" s="24" t="n"/>
    </row>
    <row r="65">
      <c r="B65" s="27" t="n"/>
      <c r="C65" s="28" t="n"/>
      <c r="D65" s="15" t="n"/>
      <c r="E65" s="24" t="n"/>
    </row>
    <row r="66">
      <c r="B66" s="27" t="n"/>
      <c r="C66" s="28" t="n"/>
      <c r="D66" s="15" t="n"/>
      <c r="E66" s="24" t="n"/>
    </row>
    <row r="67">
      <c r="B67" s="27" t="n"/>
      <c r="C67" s="28" t="n"/>
      <c r="D67" s="15" t="n"/>
      <c r="E67" s="24" t="n"/>
    </row>
    <row r="68">
      <c r="B68" s="27" t="n"/>
      <c r="C68" s="28" t="n"/>
      <c r="D68" s="15" t="n"/>
      <c r="E68" s="24" t="n"/>
    </row>
    <row r="69">
      <c r="B69" s="27" t="n"/>
      <c r="C69" s="28" t="n"/>
      <c r="D69" s="15" t="n"/>
      <c r="E69" s="24" t="n"/>
    </row>
    <row r="70">
      <c r="B70" s="27" t="n"/>
      <c r="C70" s="28" t="n"/>
      <c r="D70" s="15" t="n"/>
      <c r="E70" s="24" t="n"/>
    </row>
    <row r="71">
      <c r="B71" s="27" t="n"/>
      <c r="C71" s="28" t="n"/>
      <c r="D71" s="15" t="n"/>
      <c r="E71" s="24" t="n"/>
    </row>
    <row r="72">
      <c r="B72" s="27" t="n"/>
      <c r="C72" s="28" t="n"/>
      <c r="D72" s="15" t="n"/>
      <c r="E72" s="24" t="n"/>
    </row>
    <row r="73">
      <c r="B73" s="27" t="n"/>
      <c r="C73" s="28" t="n"/>
      <c r="D73" s="15" t="n"/>
      <c r="E73" s="24" t="n"/>
    </row>
    <row r="74">
      <c r="B74" s="27" t="n"/>
      <c r="C74" s="28" t="n"/>
      <c r="D74" s="15" t="n"/>
      <c r="E74" s="24" t="n"/>
    </row>
    <row r="75">
      <c r="B75" s="27" t="n"/>
      <c r="C75" s="28" t="n"/>
      <c r="D75" s="15" t="n"/>
      <c r="E75" s="24" t="n"/>
    </row>
    <row r="76">
      <c r="B76" s="27" t="n"/>
      <c r="C76" s="28" t="n"/>
      <c r="D76" s="15" t="n"/>
      <c r="E76" s="24" t="n"/>
    </row>
    <row r="77">
      <c r="B77" s="27" t="n"/>
      <c r="C77" s="28" t="n"/>
      <c r="D77" s="15" t="n"/>
      <c r="E77" s="24" t="n"/>
    </row>
    <row r="78">
      <c r="B78" s="27" t="n"/>
      <c r="C78" s="28" t="n"/>
      <c r="D78" s="15" t="n"/>
      <c r="E78" s="24" t="n"/>
    </row>
    <row r="79">
      <c r="B79" s="27" t="n"/>
      <c r="C79" s="28" t="n"/>
      <c r="D79" s="15" t="n"/>
      <c r="E79" s="24" t="n"/>
    </row>
    <row r="80">
      <c r="B80" s="27" t="n"/>
      <c r="C80" s="28" t="n"/>
      <c r="D80" s="15" t="n"/>
      <c r="E80" s="24" t="n"/>
    </row>
    <row r="81">
      <c r="B81" s="27" t="n"/>
      <c r="C81" s="28" t="n"/>
      <c r="D81" s="15" t="n"/>
      <c r="E81" s="24" t="n"/>
    </row>
    <row r="82">
      <c r="B82" s="27" t="n"/>
      <c r="C82" s="28" t="n"/>
      <c r="D82" s="15" t="n"/>
      <c r="E82" s="24" t="n"/>
    </row>
    <row r="83">
      <c r="B83" s="27" t="n"/>
      <c r="C83" s="28" t="n"/>
      <c r="D83" s="15" t="n"/>
      <c r="E83" s="24" t="n"/>
    </row>
    <row r="84">
      <c r="B84" s="27" t="n"/>
      <c r="C84" s="28" t="n"/>
      <c r="D84" s="15" t="n"/>
      <c r="E84" s="24" t="n"/>
    </row>
    <row r="85">
      <c r="B85" s="27" t="n"/>
      <c r="C85" s="28" t="n"/>
      <c r="D85" s="15" t="n"/>
      <c r="E85" s="24" t="n"/>
    </row>
    <row r="86">
      <c r="B86" s="27" t="n"/>
      <c r="C86" s="28" t="n"/>
      <c r="D86" s="15" t="n"/>
      <c r="E86" s="24" t="n"/>
    </row>
  </sheetData>
  <sheetProtection selectLockedCells="0" selectUnlockedCells="0" sheet="1" objects="0" insertRows="0" insertHyperlinks="1" autoFilter="0" scenarios="0" formatColumns="0" deleteColumns="1" insertColumns="1" pivotTables="1" deleteRows="1" formatCells="1" formatRows="0" sort="0"/>
  <conditionalFormatting sqref="H8">
    <cfRule type="cellIs" priority="1" operator="lessThan" dxfId="1">
      <formula>0</formula>
    </cfRule>
  </conditionalFormatting>
  <conditionalFormatting sqref="J12:J41">
    <cfRule type="cellIs" priority="2" operator="lessThan" dxfId="1">
      <formula>0</formula>
    </cfRule>
  </conditionalFormatting>
  <conditionalFormatting sqref="L12:L41">
    <cfRule type="expression" priority="3" dxfId="2">
      <formula>K12&gt;1</formula>
    </cfRule>
  </conditionalFormatting>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showDropDown="0" showInputMessage="0" showErrorMessage="0" allowBlank="1" type="list">
      <formula1>=Categories</formula1>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gridLines="0"/>
  <pageMargins left="0.75" right="0.75" top="1" bottom="1" header="0.5" footer="0.5"/>
  <pageSetup orientation="landscape" fitToHeight="1" fitToWidth="1"/>
</worksheet>
</file>

<file path=xl/worksheets/sheet5.xml><?xml version="1.0" encoding="utf-8"?>
<worksheet xmlns="http://schemas.openxmlformats.org/spreadsheetml/2006/main">
  <sheetPr>
    <tabColor rgb="002F6F5E"/>
    <outlinePr summaryBelow="1" summaryRight="1"/>
    <pageSetUpPr fitToPage="1"/>
  </sheetPr>
  <dimension ref="B2:L86"/>
  <sheetViews>
    <sheetView showGridLines="0" workbookViewId="0">
      <pane ySplit="6" topLeftCell="A7" activePane="bottomLeft" state="frozen"/>
      <selection pane="bottomLeft" activeCell="A1" sqref="A1"/>
    </sheetView>
  </sheetViews>
  <sheetFormatPr baseColWidth="8" defaultRowHeight="15"/>
  <cols>
    <col width="3" customWidth="1" min="1" max="1"/>
    <col width="12" customWidth="1" min="2" max="2"/>
    <col width="26" customWidth="1" min="3" max="3"/>
    <col width="22" customWidth="1" min="4" max="4"/>
    <col width="14" customWidth="1" min="5" max="5"/>
    <col width="14" customWidth="1" min="6" max="6"/>
    <col width="22" customWidth="1" min="7" max="7"/>
    <col width="13" customWidth="1" min="8" max="8"/>
    <col width="13" customWidth="1" min="9" max="9"/>
    <col width="13" customWidth="1" min="10" max="10"/>
    <col width="9"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February</t>
        </is>
      </c>
    </row>
    <row r="3">
      <c r="B3" s="2" t="inlineStr">
        <is>
          <t>Log what you spend. The summary on the right updates itself.</t>
        </is>
      </c>
    </row>
    <row r="4">
      <c r="B4" s="3" t="inlineStr">
        <is>
          <t>Start here</t>
        </is>
      </c>
      <c r="D4" s="3" t="inlineStr">
        <is>
          <t>Dashboard</t>
        </is>
      </c>
      <c r="E4" s="3" t="inlineStr">
        <is>
          <t>Setup</t>
        </is>
      </c>
      <c r="F4" s="3" t="inlineStr">
        <is>
          <t>Months</t>
        </is>
      </c>
      <c r="G4" s="3" t="inlineStr">
        <is>
          <t>Bills</t>
        </is>
      </c>
      <c r="H4" s="3" t="inlineStr">
        <is>
          <t>Paycheck</t>
        </is>
      </c>
      <c r="I4" s="3" t="inlineStr">
        <is>
          <t>Debt</t>
        </is>
      </c>
      <c r="J4" s="3" t="inlineStr">
        <is>
          <t>Savings</t>
        </is>
      </c>
    </row>
    <row r="6" ht="22" customHeight="1">
      <c r="B6" s="9" t="inlineStr">
        <is>
          <t>Date</t>
        </is>
      </c>
      <c r="C6" s="9" t="inlineStr">
        <is>
          <t>What</t>
        </is>
      </c>
      <c r="D6" s="9" t="inlineStr">
        <is>
          <t>Category</t>
        </is>
      </c>
      <c r="E6" s="9" t="inlineStr">
        <is>
          <t>Amount</t>
        </is>
      </c>
      <c r="G6" s="17" t="inlineStr">
        <is>
          <t>Income this month</t>
        </is>
      </c>
      <c r="H6" s="25">
        <f>'Setup'!$C$18</f>
        <v/>
      </c>
      <c r="I6" s="26" t="inlineStr">
        <is>
          <t>Type over this if your income was different</t>
        </is>
      </c>
    </row>
    <row r="7">
      <c r="B7" s="27" t="n"/>
      <c r="C7" s="28" t="n"/>
      <c r="D7" s="15" t="n"/>
      <c r="E7" s="24" t="n"/>
      <c r="G7" s="17" t="inlineStr">
        <is>
          <t>Spent</t>
        </is>
      </c>
      <c r="H7" s="29">
        <f>SUM(E7:E86)</f>
        <v/>
      </c>
    </row>
    <row r="8">
      <c r="B8" s="27" t="n"/>
      <c r="C8" s="28" t="n"/>
      <c r="D8" s="15" t="n"/>
      <c r="E8" s="24" t="n"/>
      <c r="G8" s="17" t="inlineStr">
        <is>
          <t>Left over</t>
        </is>
      </c>
      <c r="H8" s="29">
        <f>H6-H7</f>
        <v/>
      </c>
    </row>
    <row r="9">
      <c r="B9" s="27" t="n"/>
      <c r="C9" s="28" t="n"/>
      <c r="D9" s="15" t="n"/>
      <c r="E9" s="24" t="n"/>
      <c r="G9" s="17" t="inlineStr">
        <is>
          <t>Saved and debt paid</t>
        </is>
      </c>
      <c r="H9" s="29">
        <f>SUMPRODUCT(SUMIFS($E$7:$E$86,$D$7:$D$86,'Setup'!$E$10:$E$39)*(('Setup'!$F$10:$F$39="Savings")+('Setup'!$F$10:$F$39="Debt")))</f>
        <v/>
      </c>
    </row>
    <row r="10">
      <c r="B10" s="27" t="n"/>
      <c r="C10" s="28" t="n"/>
      <c r="D10" s="15" t="n"/>
      <c r="E10" s="24" t="n"/>
    </row>
    <row r="11" ht="22" customHeight="1">
      <c r="B11" s="27" t="n"/>
      <c r="C11" s="28" t="n"/>
      <c r="D11" s="15" t="n"/>
      <c r="E11" s="24" t="n"/>
      <c r="G11" s="9" t="inlineStr">
        <is>
          <t>Category</t>
        </is>
      </c>
      <c r="H11" s="9" t="inlineStr">
        <is>
          <t>Budget</t>
        </is>
      </c>
      <c r="I11" s="9" t="inlineStr">
        <is>
          <t>Spent</t>
        </is>
      </c>
      <c r="J11" s="9" t="inlineStr">
        <is>
          <t>Left</t>
        </is>
      </c>
      <c r="K11" s="9" t="inlineStr">
        <is>
          <t>Used</t>
        </is>
      </c>
      <c r="L11" s="9" t="inlineStr"/>
    </row>
    <row r="12">
      <c r="B12" s="27" t="n"/>
      <c r="C12" s="28" t="n"/>
      <c r="D12" s="15" t="n"/>
      <c r="E12" s="24" t="n"/>
      <c r="G12" s="10">
        <f>IF('Setup'!E10="","",'Setup'!E10)</f>
        <v/>
      </c>
      <c r="H12" s="20">
        <f>IF(G12="","",'Setup'!G10)</f>
        <v/>
      </c>
      <c r="I12" s="20">
        <f>IF(G12="","",SUMIFS($E$7:$E$86,$D$7:$D$86,G12))</f>
        <v/>
      </c>
      <c r="J12" s="20">
        <f>IF(G12="","",H12-I12)</f>
        <v/>
      </c>
      <c r="K12" s="30">
        <f>IF(OR(G12="",H12=0),"",I12/H12)</f>
        <v/>
      </c>
      <c r="L12" s="31">
        <f>IF(K12="","",REPT("█",ROUND(MIN(1,MAX(0,K12))*10,0))&amp;REPT("░",10-ROUND(MIN(1,MAX(0,K12))*10,0)))</f>
        <v/>
      </c>
    </row>
    <row r="13">
      <c r="B13" s="27" t="n"/>
      <c r="C13" s="28" t="n"/>
      <c r="D13" s="15" t="n"/>
      <c r="E13" s="24" t="n"/>
      <c r="G13" s="10">
        <f>IF('Setup'!E11="","",'Setup'!E11)</f>
        <v/>
      </c>
      <c r="H13" s="20">
        <f>IF(G13="","",'Setup'!G11)</f>
        <v/>
      </c>
      <c r="I13" s="20">
        <f>IF(G13="","",SUMIFS($E$7:$E$86,$D$7:$D$86,G13))</f>
        <v/>
      </c>
      <c r="J13" s="20">
        <f>IF(G13="","",H13-I13)</f>
        <v/>
      </c>
      <c r="K13" s="30">
        <f>IF(OR(G13="",H13=0),"",I13/H13)</f>
        <v/>
      </c>
      <c r="L13" s="31">
        <f>IF(K13="","",REPT("█",ROUND(MIN(1,MAX(0,K13))*10,0))&amp;REPT("░",10-ROUND(MIN(1,MAX(0,K13))*10,0)))</f>
        <v/>
      </c>
    </row>
    <row r="14">
      <c r="B14" s="27" t="n"/>
      <c r="C14" s="28" t="n"/>
      <c r="D14" s="15" t="n"/>
      <c r="E14" s="24" t="n"/>
      <c r="G14" s="10">
        <f>IF('Setup'!E12="","",'Setup'!E12)</f>
        <v/>
      </c>
      <c r="H14" s="20">
        <f>IF(G14="","",'Setup'!G12)</f>
        <v/>
      </c>
      <c r="I14" s="20">
        <f>IF(G14="","",SUMIFS($E$7:$E$86,$D$7:$D$86,G14))</f>
        <v/>
      </c>
      <c r="J14" s="20">
        <f>IF(G14="","",H14-I14)</f>
        <v/>
      </c>
      <c r="K14" s="30">
        <f>IF(OR(G14="",H14=0),"",I14/H14)</f>
        <v/>
      </c>
      <c r="L14" s="31">
        <f>IF(K14="","",REPT("█",ROUND(MIN(1,MAX(0,K14))*10,0))&amp;REPT("░",10-ROUND(MIN(1,MAX(0,K14))*10,0)))</f>
        <v/>
      </c>
    </row>
    <row r="15">
      <c r="B15" s="27" t="n"/>
      <c r="C15" s="28" t="n"/>
      <c r="D15" s="15" t="n"/>
      <c r="E15" s="24" t="n"/>
      <c r="G15" s="10">
        <f>IF('Setup'!E13="","",'Setup'!E13)</f>
        <v/>
      </c>
      <c r="H15" s="20">
        <f>IF(G15="","",'Setup'!G13)</f>
        <v/>
      </c>
      <c r="I15" s="20">
        <f>IF(G15="","",SUMIFS($E$7:$E$86,$D$7:$D$86,G15))</f>
        <v/>
      </c>
      <c r="J15" s="20">
        <f>IF(G15="","",H15-I15)</f>
        <v/>
      </c>
      <c r="K15" s="30">
        <f>IF(OR(G15="",H15=0),"",I15/H15)</f>
        <v/>
      </c>
      <c r="L15" s="31">
        <f>IF(K15="","",REPT("█",ROUND(MIN(1,MAX(0,K15))*10,0))&amp;REPT("░",10-ROUND(MIN(1,MAX(0,K15))*10,0)))</f>
        <v/>
      </c>
    </row>
    <row r="16">
      <c r="B16" s="27" t="n"/>
      <c r="C16" s="28" t="n"/>
      <c r="D16" s="15" t="n"/>
      <c r="E16" s="24" t="n"/>
      <c r="G16" s="10">
        <f>IF('Setup'!E14="","",'Setup'!E14)</f>
        <v/>
      </c>
      <c r="H16" s="20">
        <f>IF(G16="","",'Setup'!G14)</f>
        <v/>
      </c>
      <c r="I16" s="20">
        <f>IF(G16="","",SUMIFS($E$7:$E$86,$D$7:$D$86,G16))</f>
        <v/>
      </c>
      <c r="J16" s="20">
        <f>IF(G16="","",H16-I16)</f>
        <v/>
      </c>
      <c r="K16" s="30">
        <f>IF(OR(G16="",H16=0),"",I16/H16)</f>
        <v/>
      </c>
      <c r="L16" s="31">
        <f>IF(K16="","",REPT("█",ROUND(MIN(1,MAX(0,K16))*10,0))&amp;REPT("░",10-ROUND(MIN(1,MAX(0,K16))*10,0)))</f>
        <v/>
      </c>
    </row>
    <row r="17">
      <c r="B17" s="27" t="n"/>
      <c r="C17" s="28" t="n"/>
      <c r="D17" s="15" t="n"/>
      <c r="E17" s="24" t="n"/>
      <c r="G17" s="10">
        <f>IF('Setup'!E15="","",'Setup'!E15)</f>
        <v/>
      </c>
      <c r="H17" s="20">
        <f>IF(G17="","",'Setup'!G15)</f>
        <v/>
      </c>
      <c r="I17" s="20">
        <f>IF(G17="","",SUMIFS($E$7:$E$86,$D$7:$D$86,G17))</f>
        <v/>
      </c>
      <c r="J17" s="20">
        <f>IF(G17="","",H17-I17)</f>
        <v/>
      </c>
      <c r="K17" s="30">
        <f>IF(OR(G17="",H17=0),"",I17/H17)</f>
        <v/>
      </c>
      <c r="L17" s="31">
        <f>IF(K17="","",REPT("█",ROUND(MIN(1,MAX(0,K17))*10,0))&amp;REPT("░",10-ROUND(MIN(1,MAX(0,K17))*10,0)))</f>
        <v/>
      </c>
    </row>
    <row r="18">
      <c r="B18" s="27" t="n"/>
      <c r="C18" s="28" t="n"/>
      <c r="D18" s="15" t="n"/>
      <c r="E18" s="24" t="n"/>
      <c r="G18" s="10">
        <f>IF('Setup'!E16="","",'Setup'!E16)</f>
        <v/>
      </c>
      <c r="H18" s="20">
        <f>IF(G18="","",'Setup'!G16)</f>
        <v/>
      </c>
      <c r="I18" s="20">
        <f>IF(G18="","",SUMIFS($E$7:$E$86,$D$7:$D$86,G18))</f>
        <v/>
      </c>
      <c r="J18" s="20">
        <f>IF(G18="","",H18-I18)</f>
        <v/>
      </c>
      <c r="K18" s="30">
        <f>IF(OR(G18="",H18=0),"",I18/H18)</f>
        <v/>
      </c>
      <c r="L18" s="31">
        <f>IF(K18="","",REPT("█",ROUND(MIN(1,MAX(0,K18))*10,0))&amp;REPT("░",10-ROUND(MIN(1,MAX(0,K18))*10,0)))</f>
        <v/>
      </c>
    </row>
    <row r="19">
      <c r="B19" s="27" t="n"/>
      <c r="C19" s="28" t="n"/>
      <c r="D19" s="15" t="n"/>
      <c r="E19" s="24" t="n"/>
      <c r="G19" s="10">
        <f>IF('Setup'!E17="","",'Setup'!E17)</f>
        <v/>
      </c>
      <c r="H19" s="20">
        <f>IF(G19="","",'Setup'!G17)</f>
        <v/>
      </c>
      <c r="I19" s="20">
        <f>IF(G19="","",SUMIFS($E$7:$E$86,$D$7:$D$86,G19))</f>
        <v/>
      </c>
      <c r="J19" s="20">
        <f>IF(G19="","",H19-I19)</f>
        <v/>
      </c>
      <c r="K19" s="30">
        <f>IF(OR(G19="",H19=0),"",I19/H19)</f>
        <v/>
      </c>
      <c r="L19" s="31">
        <f>IF(K19="","",REPT("█",ROUND(MIN(1,MAX(0,K19))*10,0))&amp;REPT("░",10-ROUND(MIN(1,MAX(0,K19))*10,0)))</f>
        <v/>
      </c>
    </row>
    <row r="20">
      <c r="B20" s="27" t="n"/>
      <c r="C20" s="28" t="n"/>
      <c r="D20" s="15" t="n"/>
      <c r="E20" s="24" t="n"/>
      <c r="G20" s="10">
        <f>IF('Setup'!E18="","",'Setup'!E18)</f>
        <v/>
      </c>
      <c r="H20" s="20">
        <f>IF(G20="","",'Setup'!G18)</f>
        <v/>
      </c>
      <c r="I20" s="20">
        <f>IF(G20="","",SUMIFS($E$7:$E$86,$D$7:$D$86,G20))</f>
        <v/>
      </c>
      <c r="J20" s="20">
        <f>IF(G20="","",H20-I20)</f>
        <v/>
      </c>
      <c r="K20" s="30">
        <f>IF(OR(G20="",H20=0),"",I20/H20)</f>
        <v/>
      </c>
      <c r="L20" s="31">
        <f>IF(K20="","",REPT("█",ROUND(MIN(1,MAX(0,K20))*10,0))&amp;REPT("░",10-ROUND(MIN(1,MAX(0,K20))*10,0)))</f>
        <v/>
      </c>
    </row>
    <row r="21">
      <c r="B21" s="27" t="n"/>
      <c r="C21" s="28" t="n"/>
      <c r="D21" s="15" t="n"/>
      <c r="E21" s="24" t="n"/>
      <c r="G21" s="10">
        <f>IF('Setup'!E19="","",'Setup'!E19)</f>
        <v/>
      </c>
      <c r="H21" s="20">
        <f>IF(G21="","",'Setup'!G19)</f>
        <v/>
      </c>
      <c r="I21" s="20">
        <f>IF(G21="","",SUMIFS($E$7:$E$86,$D$7:$D$86,G21))</f>
        <v/>
      </c>
      <c r="J21" s="20">
        <f>IF(G21="","",H21-I21)</f>
        <v/>
      </c>
      <c r="K21" s="30">
        <f>IF(OR(G21="",H21=0),"",I21/H21)</f>
        <v/>
      </c>
      <c r="L21" s="31">
        <f>IF(K21="","",REPT("█",ROUND(MIN(1,MAX(0,K21))*10,0))&amp;REPT("░",10-ROUND(MIN(1,MAX(0,K21))*10,0)))</f>
        <v/>
      </c>
    </row>
    <row r="22">
      <c r="B22" s="27" t="n"/>
      <c r="C22" s="28" t="n"/>
      <c r="D22" s="15" t="n"/>
      <c r="E22" s="24" t="n"/>
      <c r="G22" s="10">
        <f>IF('Setup'!E20="","",'Setup'!E20)</f>
        <v/>
      </c>
      <c r="H22" s="20">
        <f>IF(G22="","",'Setup'!G20)</f>
        <v/>
      </c>
      <c r="I22" s="20">
        <f>IF(G22="","",SUMIFS($E$7:$E$86,$D$7:$D$86,G22))</f>
        <v/>
      </c>
      <c r="J22" s="20">
        <f>IF(G22="","",H22-I22)</f>
        <v/>
      </c>
      <c r="K22" s="30">
        <f>IF(OR(G22="",H22=0),"",I22/H22)</f>
        <v/>
      </c>
      <c r="L22" s="31">
        <f>IF(K22="","",REPT("█",ROUND(MIN(1,MAX(0,K22))*10,0))&amp;REPT("░",10-ROUND(MIN(1,MAX(0,K22))*10,0)))</f>
        <v/>
      </c>
    </row>
    <row r="23">
      <c r="B23" s="27" t="n"/>
      <c r="C23" s="28" t="n"/>
      <c r="D23" s="15" t="n"/>
      <c r="E23" s="24" t="n"/>
      <c r="G23" s="10">
        <f>IF('Setup'!E21="","",'Setup'!E21)</f>
        <v/>
      </c>
      <c r="H23" s="20">
        <f>IF(G23="","",'Setup'!G21)</f>
        <v/>
      </c>
      <c r="I23" s="20">
        <f>IF(G23="","",SUMIFS($E$7:$E$86,$D$7:$D$86,G23))</f>
        <v/>
      </c>
      <c r="J23" s="20">
        <f>IF(G23="","",H23-I23)</f>
        <v/>
      </c>
      <c r="K23" s="30">
        <f>IF(OR(G23="",H23=0),"",I23/H23)</f>
        <v/>
      </c>
      <c r="L23" s="31">
        <f>IF(K23="","",REPT("█",ROUND(MIN(1,MAX(0,K23))*10,0))&amp;REPT("░",10-ROUND(MIN(1,MAX(0,K23))*10,0)))</f>
        <v/>
      </c>
    </row>
    <row r="24">
      <c r="B24" s="27" t="n"/>
      <c r="C24" s="28" t="n"/>
      <c r="D24" s="15" t="n"/>
      <c r="E24" s="24" t="n"/>
      <c r="G24" s="10">
        <f>IF('Setup'!E22="","",'Setup'!E22)</f>
        <v/>
      </c>
      <c r="H24" s="20">
        <f>IF(G24="","",'Setup'!G22)</f>
        <v/>
      </c>
      <c r="I24" s="20">
        <f>IF(G24="","",SUMIFS($E$7:$E$86,$D$7:$D$86,G24))</f>
        <v/>
      </c>
      <c r="J24" s="20">
        <f>IF(G24="","",H24-I24)</f>
        <v/>
      </c>
      <c r="K24" s="30">
        <f>IF(OR(G24="",H24=0),"",I24/H24)</f>
        <v/>
      </c>
      <c r="L24" s="31">
        <f>IF(K24="","",REPT("█",ROUND(MIN(1,MAX(0,K24))*10,0))&amp;REPT("░",10-ROUND(MIN(1,MAX(0,K24))*10,0)))</f>
        <v/>
      </c>
    </row>
    <row r="25">
      <c r="B25" s="27" t="n"/>
      <c r="C25" s="28" t="n"/>
      <c r="D25" s="15" t="n"/>
      <c r="E25" s="24" t="n"/>
      <c r="G25" s="10">
        <f>IF('Setup'!E23="","",'Setup'!E23)</f>
        <v/>
      </c>
      <c r="H25" s="20">
        <f>IF(G25="","",'Setup'!G23)</f>
        <v/>
      </c>
      <c r="I25" s="20">
        <f>IF(G25="","",SUMIFS($E$7:$E$86,$D$7:$D$86,G25))</f>
        <v/>
      </c>
      <c r="J25" s="20">
        <f>IF(G25="","",H25-I25)</f>
        <v/>
      </c>
      <c r="K25" s="30">
        <f>IF(OR(G25="",H25=0),"",I25/H25)</f>
        <v/>
      </c>
      <c r="L25" s="31">
        <f>IF(K25="","",REPT("█",ROUND(MIN(1,MAX(0,K25))*10,0))&amp;REPT("░",10-ROUND(MIN(1,MAX(0,K25))*10,0)))</f>
        <v/>
      </c>
    </row>
    <row r="26">
      <c r="B26" s="27" t="n"/>
      <c r="C26" s="28" t="n"/>
      <c r="D26" s="15" t="n"/>
      <c r="E26" s="24" t="n"/>
      <c r="G26" s="10">
        <f>IF('Setup'!E24="","",'Setup'!E24)</f>
        <v/>
      </c>
      <c r="H26" s="20">
        <f>IF(G26="","",'Setup'!G24)</f>
        <v/>
      </c>
      <c r="I26" s="20">
        <f>IF(G26="","",SUMIFS($E$7:$E$86,$D$7:$D$86,G26))</f>
        <v/>
      </c>
      <c r="J26" s="20">
        <f>IF(G26="","",H26-I26)</f>
        <v/>
      </c>
      <c r="K26" s="30">
        <f>IF(OR(G26="",H26=0),"",I26/H26)</f>
        <v/>
      </c>
      <c r="L26" s="31">
        <f>IF(K26="","",REPT("█",ROUND(MIN(1,MAX(0,K26))*10,0))&amp;REPT("░",10-ROUND(MIN(1,MAX(0,K26))*10,0)))</f>
        <v/>
      </c>
    </row>
    <row r="27">
      <c r="B27" s="27" t="n"/>
      <c r="C27" s="28" t="n"/>
      <c r="D27" s="15" t="n"/>
      <c r="E27" s="24" t="n"/>
      <c r="G27" s="10">
        <f>IF('Setup'!E25="","",'Setup'!E25)</f>
        <v/>
      </c>
      <c r="H27" s="20">
        <f>IF(G27="","",'Setup'!G25)</f>
        <v/>
      </c>
      <c r="I27" s="20">
        <f>IF(G27="","",SUMIFS($E$7:$E$86,$D$7:$D$86,G27))</f>
        <v/>
      </c>
      <c r="J27" s="20">
        <f>IF(G27="","",H27-I27)</f>
        <v/>
      </c>
      <c r="K27" s="30">
        <f>IF(OR(G27="",H27=0),"",I27/H27)</f>
        <v/>
      </c>
      <c r="L27" s="31">
        <f>IF(K27="","",REPT("█",ROUND(MIN(1,MAX(0,K27))*10,0))&amp;REPT("░",10-ROUND(MIN(1,MAX(0,K27))*10,0)))</f>
        <v/>
      </c>
    </row>
    <row r="28">
      <c r="B28" s="27" t="n"/>
      <c r="C28" s="28" t="n"/>
      <c r="D28" s="15" t="n"/>
      <c r="E28" s="24" t="n"/>
      <c r="G28" s="10">
        <f>IF('Setup'!E26="","",'Setup'!E26)</f>
        <v/>
      </c>
      <c r="H28" s="20">
        <f>IF(G28="","",'Setup'!G26)</f>
        <v/>
      </c>
      <c r="I28" s="20">
        <f>IF(G28="","",SUMIFS($E$7:$E$86,$D$7:$D$86,G28))</f>
        <v/>
      </c>
      <c r="J28" s="20">
        <f>IF(G28="","",H28-I28)</f>
        <v/>
      </c>
      <c r="K28" s="30">
        <f>IF(OR(G28="",H28=0),"",I28/H28)</f>
        <v/>
      </c>
      <c r="L28" s="31">
        <f>IF(K28="","",REPT("█",ROUND(MIN(1,MAX(0,K28))*10,0))&amp;REPT("░",10-ROUND(MIN(1,MAX(0,K28))*10,0)))</f>
        <v/>
      </c>
    </row>
    <row r="29">
      <c r="B29" s="27" t="n"/>
      <c r="C29" s="28" t="n"/>
      <c r="D29" s="15" t="n"/>
      <c r="E29" s="24" t="n"/>
      <c r="G29" s="10">
        <f>IF('Setup'!E27="","",'Setup'!E27)</f>
        <v/>
      </c>
      <c r="H29" s="20">
        <f>IF(G29="","",'Setup'!G27)</f>
        <v/>
      </c>
      <c r="I29" s="20">
        <f>IF(G29="","",SUMIFS($E$7:$E$86,$D$7:$D$86,G29))</f>
        <v/>
      </c>
      <c r="J29" s="20">
        <f>IF(G29="","",H29-I29)</f>
        <v/>
      </c>
      <c r="K29" s="30">
        <f>IF(OR(G29="",H29=0),"",I29/H29)</f>
        <v/>
      </c>
      <c r="L29" s="31">
        <f>IF(K29="","",REPT("█",ROUND(MIN(1,MAX(0,K29))*10,0))&amp;REPT("░",10-ROUND(MIN(1,MAX(0,K29))*10,0)))</f>
        <v/>
      </c>
    </row>
    <row r="30">
      <c r="B30" s="27" t="n"/>
      <c r="C30" s="28" t="n"/>
      <c r="D30" s="15" t="n"/>
      <c r="E30" s="24" t="n"/>
      <c r="G30" s="10">
        <f>IF('Setup'!E28="","",'Setup'!E28)</f>
        <v/>
      </c>
      <c r="H30" s="20">
        <f>IF(G30="","",'Setup'!G28)</f>
        <v/>
      </c>
      <c r="I30" s="20">
        <f>IF(G30="","",SUMIFS($E$7:$E$86,$D$7:$D$86,G30))</f>
        <v/>
      </c>
      <c r="J30" s="20">
        <f>IF(G30="","",H30-I30)</f>
        <v/>
      </c>
      <c r="K30" s="30">
        <f>IF(OR(G30="",H30=0),"",I30/H30)</f>
        <v/>
      </c>
      <c r="L30" s="31">
        <f>IF(K30="","",REPT("█",ROUND(MIN(1,MAX(0,K30))*10,0))&amp;REPT("░",10-ROUND(MIN(1,MAX(0,K30))*10,0)))</f>
        <v/>
      </c>
    </row>
    <row r="31">
      <c r="B31" s="27" t="n"/>
      <c r="C31" s="28" t="n"/>
      <c r="D31" s="15" t="n"/>
      <c r="E31" s="24" t="n"/>
      <c r="G31" s="10">
        <f>IF('Setup'!E29="","",'Setup'!E29)</f>
        <v/>
      </c>
      <c r="H31" s="20">
        <f>IF(G31="","",'Setup'!G29)</f>
        <v/>
      </c>
      <c r="I31" s="20">
        <f>IF(G31="","",SUMIFS($E$7:$E$86,$D$7:$D$86,G31))</f>
        <v/>
      </c>
      <c r="J31" s="20">
        <f>IF(G31="","",H31-I31)</f>
        <v/>
      </c>
      <c r="K31" s="30">
        <f>IF(OR(G31="",H31=0),"",I31/H31)</f>
        <v/>
      </c>
      <c r="L31" s="31">
        <f>IF(K31="","",REPT("█",ROUND(MIN(1,MAX(0,K31))*10,0))&amp;REPT("░",10-ROUND(MIN(1,MAX(0,K31))*10,0)))</f>
        <v/>
      </c>
    </row>
    <row r="32">
      <c r="B32" s="27" t="n"/>
      <c r="C32" s="28" t="n"/>
      <c r="D32" s="15" t="n"/>
      <c r="E32" s="24" t="n"/>
      <c r="G32" s="10">
        <f>IF('Setup'!E30="","",'Setup'!E30)</f>
        <v/>
      </c>
      <c r="H32" s="20">
        <f>IF(G32="","",'Setup'!G30)</f>
        <v/>
      </c>
      <c r="I32" s="20">
        <f>IF(G32="","",SUMIFS($E$7:$E$86,$D$7:$D$86,G32))</f>
        <v/>
      </c>
      <c r="J32" s="20">
        <f>IF(G32="","",H32-I32)</f>
        <v/>
      </c>
      <c r="K32" s="30">
        <f>IF(OR(G32="",H32=0),"",I32/H32)</f>
        <v/>
      </c>
      <c r="L32" s="31">
        <f>IF(K32="","",REPT("█",ROUND(MIN(1,MAX(0,K32))*10,0))&amp;REPT("░",10-ROUND(MIN(1,MAX(0,K32))*10,0)))</f>
        <v/>
      </c>
    </row>
    <row r="33">
      <c r="B33" s="27" t="n"/>
      <c r="C33" s="28" t="n"/>
      <c r="D33" s="15" t="n"/>
      <c r="E33" s="24" t="n"/>
      <c r="G33" s="10">
        <f>IF('Setup'!E31="","",'Setup'!E31)</f>
        <v/>
      </c>
      <c r="H33" s="20">
        <f>IF(G33="","",'Setup'!G31)</f>
        <v/>
      </c>
      <c r="I33" s="20">
        <f>IF(G33="","",SUMIFS($E$7:$E$86,$D$7:$D$86,G33))</f>
        <v/>
      </c>
      <c r="J33" s="20">
        <f>IF(G33="","",H33-I33)</f>
        <v/>
      </c>
      <c r="K33" s="30">
        <f>IF(OR(G33="",H33=0),"",I33/H33)</f>
        <v/>
      </c>
      <c r="L33" s="31">
        <f>IF(K33="","",REPT("█",ROUND(MIN(1,MAX(0,K33))*10,0))&amp;REPT("░",10-ROUND(MIN(1,MAX(0,K33))*10,0)))</f>
        <v/>
      </c>
    </row>
    <row r="34">
      <c r="B34" s="27" t="n"/>
      <c r="C34" s="28" t="n"/>
      <c r="D34" s="15" t="n"/>
      <c r="E34" s="24" t="n"/>
      <c r="G34" s="10">
        <f>IF('Setup'!E32="","",'Setup'!E32)</f>
        <v/>
      </c>
      <c r="H34" s="20">
        <f>IF(G34="","",'Setup'!G32)</f>
        <v/>
      </c>
      <c r="I34" s="20">
        <f>IF(G34="","",SUMIFS($E$7:$E$86,$D$7:$D$86,G34))</f>
        <v/>
      </c>
      <c r="J34" s="20">
        <f>IF(G34="","",H34-I34)</f>
        <v/>
      </c>
      <c r="K34" s="30">
        <f>IF(OR(G34="",H34=0),"",I34/H34)</f>
        <v/>
      </c>
      <c r="L34" s="31">
        <f>IF(K34="","",REPT("█",ROUND(MIN(1,MAX(0,K34))*10,0))&amp;REPT("░",10-ROUND(MIN(1,MAX(0,K34))*10,0)))</f>
        <v/>
      </c>
    </row>
    <row r="35">
      <c r="B35" s="27" t="n"/>
      <c r="C35" s="28" t="n"/>
      <c r="D35" s="15" t="n"/>
      <c r="E35" s="24" t="n"/>
      <c r="G35" s="10">
        <f>IF('Setup'!E33="","",'Setup'!E33)</f>
        <v/>
      </c>
      <c r="H35" s="20">
        <f>IF(G35="","",'Setup'!G33)</f>
        <v/>
      </c>
      <c r="I35" s="20">
        <f>IF(G35="","",SUMIFS($E$7:$E$86,$D$7:$D$86,G35))</f>
        <v/>
      </c>
      <c r="J35" s="20">
        <f>IF(G35="","",H35-I35)</f>
        <v/>
      </c>
      <c r="K35" s="30">
        <f>IF(OR(G35="",H35=0),"",I35/H35)</f>
        <v/>
      </c>
      <c r="L35" s="31">
        <f>IF(K35="","",REPT("█",ROUND(MIN(1,MAX(0,K35))*10,0))&amp;REPT("░",10-ROUND(MIN(1,MAX(0,K35))*10,0)))</f>
        <v/>
      </c>
    </row>
    <row r="36">
      <c r="B36" s="27" t="n"/>
      <c r="C36" s="28" t="n"/>
      <c r="D36" s="15" t="n"/>
      <c r="E36" s="24" t="n"/>
      <c r="G36" s="10">
        <f>IF('Setup'!E34="","",'Setup'!E34)</f>
        <v/>
      </c>
      <c r="H36" s="20">
        <f>IF(G36="","",'Setup'!G34)</f>
        <v/>
      </c>
      <c r="I36" s="20">
        <f>IF(G36="","",SUMIFS($E$7:$E$86,$D$7:$D$86,G36))</f>
        <v/>
      </c>
      <c r="J36" s="20">
        <f>IF(G36="","",H36-I36)</f>
        <v/>
      </c>
      <c r="K36" s="30">
        <f>IF(OR(G36="",H36=0),"",I36/H36)</f>
        <v/>
      </c>
      <c r="L36" s="31">
        <f>IF(K36="","",REPT("█",ROUND(MIN(1,MAX(0,K36))*10,0))&amp;REPT("░",10-ROUND(MIN(1,MAX(0,K36))*10,0)))</f>
        <v/>
      </c>
    </row>
    <row r="37">
      <c r="B37" s="27" t="n"/>
      <c r="C37" s="28" t="n"/>
      <c r="D37" s="15" t="n"/>
      <c r="E37" s="24" t="n"/>
      <c r="G37" s="10">
        <f>IF('Setup'!E35="","",'Setup'!E35)</f>
        <v/>
      </c>
      <c r="H37" s="20">
        <f>IF(G37="","",'Setup'!G35)</f>
        <v/>
      </c>
      <c r="I37" s="20">
        <f>IF(G37="","",SUMIFS($E$7:$E$86,$D$7:$D$86,G37))</f>
        <v/>
      </c>
      <c r="J37" s="20">
        <f>IF(G37="","",H37-I37)</f>
        <v/>
      </c>
      <c r="K37" s="30">
        <f>IF(OR(G37="",H37=0),"",I37/H37)</f>
        <v/>
      </c>
      <c r="L37" s="31">
        <f>IF(K37="","",REPT("█",ROUND(MIN(1,MAX(0,K37))*10,0))&amp;REPT("░",10-ROUND(MIN(1,MAX(0,K37))*10,0)))</f>
        <v/>
      </c>
    </row>
    <row r="38">
      <c r="B38" s="27" t="n"/>
      <c r="C38" s="28" t="n"/>
      <c r="D38" s="15" t="n"/>
      <c r="E38" s="24" t="n"/>
      <c r="G38" s="10">
        <f>IF('Setup'!E36="","",'Setup'!E36)</f>
        <v/>
      </c>
      <c r="H38" s="20">
        <f>IF(G38="","",'Setup'!G36)</f>
        <v/>
      </c>
      <c r="I38" s="20">
        <f>IF(G38="","",SUMIFS($E$7:$E$86,$D$7:$D$86,G38))</f>
        <v/>
      </c>
      <c r="J38" s="20">
        <f>IF(G38="","",H38-I38)</f>
        <v/>
      </c>
      <c r="K38" s="30">
        <f>IF(OR(G38="",H38=0),"",I38/H38)</f>
        <v/>
      </c>
      <c r="L38" s="31">
        <f>IF(K38="","",REPT("█",ROUND(MIN(1,MAX(0,K38))*10,0))&amp;REPT("░",10-ROUND(MIN(1,MAX(0,K38))*10,0)))</f>
        <v/>
      </c>
    </row>
    <row r="39">
      <c r="B39" s="27" t="n"/>
      <c r="C39" s="28" t="n"/>
      <c r="D39" s="15" t="n"/>
      <c r="E39" s="24" t="n"/>
      <c r="G39" s="10">
        <f>IF('Setup'!E37="","",'Setup'!E37)</f>
        <v/>
      </c>
      <c r="H39" s="20">
        <f>IF(G39="","",'Setup'!G37)</f>
        <v/>
      </c>
      <c r="I39" s="20">
        <f>IF(G39="","",SUMIFS($E$7:$E$86,$D$7:$D$86,G39))</f>
        <v/>
      </c>
      <c r="J39" s="20">
        <f>IF(G39="","",H39-I39)</f>
        <v/>
      </c>
      <c r="K39" s="30">
        <f>IF(OR(G39="",H39=0),"",I39/H39)</f>
        <v/>
      </c>
      <c r="L39" s="31">
        <f>IF(K39="","",REPT("█",ROUND(MIN(1,MAX(0,K39))*10,0))&amp;REPT("░",10-ROUND(MIN(1,MAX(0,K39))*10,0)))</f>
        <v/>
      </c>
    </row>
    <row r="40">
      <c r="B40" s="27" t="n"/>
      <c r="C40" s="28" t="n"/>
      <c r="D40" s="15" t="n"/>
      <c r="E40" s="24" t="n"/>
      <c r="G40" s="10">
        <f>IF('Setup'!E38="","",'Setup'!E38)</f>
        <v/>
      </c>
      <c r="H40" s="20">
        <f>IF(G40="","",'Setup'!G38)</f>
        <v/>
      </c>
      <c r="I40" s="20">
        <f>IF(G40="","",SUMIFS($E$7:$E$86,$D$7:$D$86,G40))</f>
        <v/>
      </c>
      <c r="J40" s="20">
        <f>IF(G40="","",H40-I40)</f>
        <v/>
      </c>
      <c r="K40" s="30">
        <f>IF(OR(G40="",H40=0),"",I40/H40)</f>
        <v/>
      </c>
      <c r="L40" s="31">
        <f>IF(K40="","",REPT("█",ROUND(MIN(1,MAX(0,K40))*10,0))&amp;REPT("░",10-ROUND(MIN(1,MAX(0,K40))*10,0)))</f>
        <v/>
      </c>
    </row>
    <row r="41">
      <c r="B41" s="27" t="n"/>
      <c r="C41" s="28" t="n"/>
      <c r="D41" s="15" t="n"/>
      <c r="E41" s="24" t="n"/>
      <c r="G41" s="10">
        <f>IF('Setup'!E39="","",'Setup'!E39)</f>
        <v/>
      </c>
      <c r="H41" s="20">
        <f>IF(G41="","",'Setup'!G39)</f>
        <v/>
      </c>
      <c r="I41" s="20">
        <f>IF(G41="","",SUMIFS($E$7:$E$86,$D$7:$D$86,G41))</f>
        <v/>
      </c>
      <c r="J41" s="20">
        <f>IF(G41="","",H41-I41)</f>
        <v/>
      </c>
      <c r="K41" s="30">
        <f>IF(OR(G41="",H41=0),"",I41/H41)</f>
        <v/>
      </c>
      <c r="L41" s="31">
        <f>IF(K41="","",REPT("█",ROUND(MIN(1,MAX(0,K41))*10,0))&amp;REPT("░",10-ROUND(MIN(1,MAX(0,K41))*10,0)))</f>
        <v/>
      </c>
    </row>
    <row r="42">
      <c r="B42" s="27" t="n"/>
      <c r="C42" s="28" t="n"/>
      <c r="D42" s="15" t="n"/>
      <c r="E42" s="24" t="n"/>
    </row>
    <row r="43">
      <c r="B43" s="27" t="n"/>
      <c r="C43" s="28" t="n"/>
      <c r="D43" s="15" t="n"/>
      <c r="E43" s="24" t="n"/>
    </row>
    <row r="44">
      <c r="B44" s="27" t="n"/>
      <c r="C44" s="28" t="n"/>
      <c r="D44" s="15" t="n"/>
      <c r="E44" s="24" t="n"/>
    </row>
    <row r="45">
      <c r="B45" s="27" t="n"/>
      <c r="C45" s="28" t="n"/>
      <c r="D45" s="15" t="n"/>
      <c r="E45" s="24" t="n"/>
    </row>
    <row r="46">
      <c r="B46" s="27" t="n"/>
      <c r="C46" s="28" t="n"/>
      <c r="D46" s="15" t="n"/>
      <c r="E46" s="24" t="n"/>
    </row>
    <row r="47">
      <c r="B47" s="27" t="n"/>
      <c r="C47" s="28" t="n"/>
      <c r="D47" s="15" t="n"/>
      <c r="E47" s="24" t="n"/>
    </row>
    <row r="48">
      <c r="B48" s="27" t="n"/>
      <c r="C48" s="28" t="n"/>
      <c r="D48" s="15" t="n"/>
      <c r="E48" s="24" t="n"/>
    </row>
    <row r="49">
      <c r="B49" s="27" t="n"/>
      <c r="C49" s="28" t="n"/>
      <c r="D49" s="15" t="n"/>
      <c r="E49" s="24" t="n"/>
    </row>
    <row r="50">
      <c r="B50" s="27" t="n"/>
      <c r="C50" s="28" t="n"/>
      <c r="D50" s="15" t="n"/>
      <c r="E50" s="24" t="n"/>
    </row>
    <row r="51">
      <c r="B51" s="27" t="n"/>
      <c r="C51" s="28" t="n"/>
      <c r="D51" s="15" t="n"/>
      <c r="E51" s="24" t="n"/>
    </row>
    <row r="52">
      <c r="B52" s="27" t="n"/>
      <c r="C52" s="28" t="n"/>
      <c r="D52" s="15" t="n"/>
      <c r="E52" s="24" t="n"/>
    </row>
    <row r="53">
      <c r="B53" s="27" t="n"/>
      <c r="C53" s="28" t="n"/>
      <c r="D53" s="15" t="n"/>
      <c r="E53" s="24" t="n"/>
    </row>
    <row r="54">
      <c r="B54" s="27" t="n"/>
      <c r="C54" s="28" t="n"/>
      <c r="D54" s="15" t="n"/>
      <c r="E54" s="24" t="n"/>
    </row>
    <row r="55">
      <c r="B55" s="27" t="n"/>
      <c r="C55" s="28" t="n"/>
      <c r="D55" s="15" t="n"/>
      <c r="E55" s="24" t="n"/>
    </row>
    <row r="56">
      <c r="B56" s="27" t="n"/>
      <c r="C56" s="28" t="n"/>
      <c r="D56" s="15" t="n"/>
      <c r="E56" s="24" t="n"/>
    </row>
    <row r="57">
      <c r="B57" s="27" t="n"/>
      <c r="C57" s="28" t="n"/>
      <c r="D57" s="15" t="n"/>
      <c r="E57" s="24" t="n"/>
    </row>
    <row r="58">
      <c r="B58" s="27" t="n"/>
      <c r="C58" s="28" t="n"/>
      <c r="D58" s="15" t="n"/>
      <c r="E58" s="24" t="n"/>
    </row>
    <row r="59">
      <c r="B59" s="27" t="n"/>
      <c r="C59" s="28" t="n"/>
      <c r="D59" s="15" t="n"/>
      <c r="E59" s="24" t="n"/>
    </row>
    <row r="60">
      <c r="B60" s="27" t="n"/>
      <c r="C60" s="28" t="n"/>
      <c r="D60" s="15" t="n"/>
      <c r="E60" s="24" t="n"/>
    </row>
    <row r="61">
      <c r="B61" s="27" t="n"/>
      <c r="C61" s="28" t="n"/>
      <c r="D61" s="15" t="n"/>
      <c r="E61" s="24" t="n"/>
    </row>
    <row r="62">
      <c r="B62" s="27" t="n"/>
      <c r="C62" s="28" t="n"/>
      <c r="D62" s="15" t="n"/>
      <c r="E62" s="24" t="n"/>
    </row>
    <row r="63">
      <c r="B63" s="27" t="n"/>
      <c r="C63" s="28" t="n"/>
      <c r="D63" s="15" t="n"/>
      <c r="E63" s="24" t="n"/>
    </row>
    <row r="64">
      <c r="B64" s="27" t="n"/>
      <c r="C64" s="28" t="n"/>
      <c r="D64" s="15" t="n"/>
      <c r="E64" s="24" t="n"/>
    </row>
    <row r="65">
      <c r="B65" s="27" t="n"/>
      <c r="C65" s="28" t="n"/>
      <c r="D65" s="15" t="n"/>
      <c r="E65" s="24" t="n"/>
    </row>
    <row r="66">
      <c r="B66" s="27" t="n"/>
      <c r="C66" s="28" t="n"/>
      <c r="D66" s="15" t="n"/>
      <c r="E66" s="24" t="n"/>
    </row>
    <row r="67">
      <c r="B67" s="27" t="n"/>
      <c r="C67" s="28" t="n"/>
      <c r="D67" s="15" t="n"/>
      <c r="E67" s="24" t="n"/>
    </row>
    <row r="68">
      <c r="B68" s="27" t="n"/>
      <c r="C68" s="28" t="n"/>
      <c r="D68" s="15" t="n"/>
      <c r="E68" s="24" t="n"/>
    </row>
    <row r="69">
      <c r="B69" s="27" t="n"/>
      <c r="C69" s="28" t="n"/>
      <c r="D69" s="15" t="n"/>
      <c r="E69" s="24" t="n"/>
    </row>
    <row r="70">
      <c r="B70" s="27" t="n"/>
      <c r="C70" s="28" t="n"/>
      <c r="D70" s="15" t="n"/>
      <c r="E70" s="24" t="n"/>
    </row>
    <row r="71">
      <c r="B71" s="27" t="n"/>
      <c r="C71" s="28" t="n"/>
      <c r="D71" s="15" t="n"/>
      <c r="E71" s="24" t="n"/>
    </row>
    <row r="72">
      <c r="B72" s="27" t="n"/>
      <c r="C72" s="28" t="n"/>
      <c r="D72" s="15" t="n"/>
      <c r="E72" s="24" t="n"/>
    </row>
    <row r="73">
      <c r="B73" s="27" t="n"/>
      <c r="C73" s="28" t="n"/>
      <c r="D73" s="15" t="n"/>
      <c r="E73" s="24" t="n"/>
    </row>
    <row r="74">
      <c r="B74" s="27" t="n"/>
      <c r="C74" s="28" t="n"/>
      <c r="D74" s="15" t="n"/>
      <c r="E74" s="24" t="n"/>
    </row>
    <row r="75">
      <c r="B75" s="27" t="n"/>
      <c r="C75" s="28" t="n"/>
      <c r="D75" s="15" t="n"/>
      <c r="E75" s="24" t="n"/>
    </row>
    <row r="76">
      <c r="B76" s="27" t="n"/>
      <c r="C76" s="28" t="n"/>
      <c r="D76" s="15" t="n"/>
      <c r="E76" s="24" t="n"/>
    </row>
    <row r="77">
      <c r="B77" s="27" t="n"/>
      <c r="C77" s="28" t="n"/>
      <c r="D77" s="15" t="n"/>
      <c r="E77" s="24" t="n"/>
    </row>
    <row r="78">
      <c r="B78" s="27" t="n"/>
      <c r="C78" s="28" t="n"/>
      <c r="D78" s="15" t="n"/>
      <c r="E78" s="24" t="n"/>
    </row>
    <row r="79">
      <c r="B79" s="27" t="n"/>
      <c r="C79" s="28" t="n"/>
      <c r="D79" s="15" t="n"/>
      <c r="E79" s="24" t="n"/>
    </row>
    <row r="80">
      <c r="B80" s="27" t="n"/>
      <c r="C80" s="28" t="n"/>
      <c r="D80" s="15" t="n"/>
      <c r="E80" s="24" t="n"/>
    </row>
    <row r="81">
      <c r="B81" s="27" t="n"/>
      <c r="C81" s="28" t="n"/>
      <c r="D81" s="15" t="n"/>
      <c r="E81" s="24" t="n"/>
    </row>
    <row r="82">
      <c r="B82" s="27" t="n"/>
      <c r="C82" s="28" t="n"/>
      <c r="D82" s="15" t="n"/>
      <c r="E82" s="24" t="n"/>
    </row>
    <row r="83">
      <c r="B83" s="27" t="n"/>
      <c r="C83" s="28" t="n"/>
      <c r="D83" s="15" t="n"/>
      <c r="E83" s="24" t="n"/>
    </row>
    <row r="84">
      <c r="B84" s="27" t="n"/>
      <c r="C84" s="28" t="n"/>
      <c r="D84" s="15" t="n"/>
      <c r="E84" s="24" t="n"/>
    </row>
    <row r="85">
      <c r="B85" s="27" t="n"/>
      <c r="C85" s="28" t="n"/>
      <c r="D85" s="15" t="n"/>
      <c r="E85" s="24" t="n"/>
    </row>
    <row r="86">
      <c r="B86" s="27" t="n"/>
      <c r="C86" s="28" t="n"/>
      <c r="D86" s="15" t="n"/>
      <c r="E86" s="24" t="n"/>
    </row>
  </sheetData>
  <sheetProtection selectLockedCells="0" selectUnlockedCells="0" sheet="1" objects="0" insertRows="0" insertHyperlinks="1" autoFilter="0" scenarios="0" formatColumns="0" deleteColumns="1" insertColumns="1" pivotTables="1" deleteRows="1" formatCells="1" formatRows="0" sort="0"/>
  <conditionalFormatting sqref="H8">
    <cfRule type="cellIs" priority="1" operator="lessThan" dxfId="1">
      <formula>0</formula>
    </cfRule>
  </conditionalFormatting>
  <conditionalFormatting sqref="J12:J41">
    <cfRule type="cellIs" priority="2" operator="lessThan" dxfId="1">
      <formula>0</formula>
    </cfRule>
  </conditionalFormatting>
  <conditionalFormatting sqref="L12:L41">
    <cfRule type="expression" priority="3" dxfId="2">
      <formula>K12&gt;1</formula>
    </cfRule>
  </conditionalFormatting>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showDropDown="0" showInputMessage="0" showErrorMessage="0" allowBlank="1" type="list">
      <formula1>=Categories</formula1>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gridLines="0"/>
  <pageMargins left="0.75" right="0.75" top="1" bottom="1" header="0.5" footer="0.5"/>
  <pageSetup orientation="landscape" fitToHeight="1" fitToWidth="1"/>
</worksheet>
</file>

<file path=xl/worksheets/sheet6.xml><?xml version="1.0" encoding="utf-8"?>
<worksheet xmlns="http://schemas.openxmlformats.org/spreadsheetml/2006/main">
  <sheetPr>
    <tabColor rgb="002F6F5E"/>
    <outlinePr summaryBelow="1" summaryRight="1"/>
    <pageSetUpPr fitToPage="1"/>
  </sheetPr>
  <dimension ref="B2:L86"/>
  <sheetViews>
    <sheetView showGridLines="0" workbookViewId="0">
      <pane ySplit="6" topLeftCell="A7" activePane="bottomLeft" state="frozen"/>
      <selection pane="bottomLeft" activeCell="A1" sqref="A1"/>
    </sheetView>
  </sheetViews>
  <sheetFormatPr baseColWidth="8" defaultRowHeight="15"/>
  <cols>
    <col width="3" customWidth="1" min="1" max="1"/>
    <col width="12" customWidth="1" min="2" max="2"/>
    <col width="26" customWidth="1" min="3" max="3"/>
    <col width="22" customWidth="1" min="4" max="4"/>
    <col width="14" customWidth="1" min="5" max="5"/>
    <col width="14" customWidth="1" min="6" max="6"/>
    <col width="22" customWidth="1" min="7" max="7"/>
    <col width="13" customWidth="1" min="8" max="8"/>
    <col width="13" customWidth="1" min="9" max="9"/>
    <col width="13" customWidth="1" min="10" max="10"/>
    <col width="9"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March</t>
        </is>
      </c>
    </row>
    <row r="3">
      <c r="B3" s="2" t="inlineStr">
        <is>
          <t>Log what you spend. The summary on the right updates itself.</t>
        </is>
      </c>
    </row>
    <row r="4">
      <c r="B4" s="3" t="inlineStr">
        <is>
          <t>Start here</t>
        </is>
      </c>
      <c r="D4" s="3" t="inlineStr">
        <is>
          <t>Dashboard</t>
        </is>
      </c>
      <c r="E4" s="3" t="inlineStr">
        <is>
          <t>Setup</t>
        </is>
      </c>
      <c r="F4" s="3" t="inlineStr">
        <is>
          <t>Months</t>
        </is>
      </c>
      <c r="G4" s="3" t="inlineStr">
        <is>
          <t>Bills</t>
        </is>
      </c>
      <c r="H4" s="3" t="inlineStr">
        <is>
          <t>Paycheck</t>
        </is>
      </c>
      <c r="I4" s="3" t="inlineStr">
        <is>
          <t>Debt</t>
        </is>
      </c>
      <c r="J4" s="3" t="inlineStr">
        <is>
          <t>Savings</t>
        </is>
      </c>
    </row>
    <row r="6" ht="22" customHeight="1">
      <c r="B6" s="9" t="inlineStr">
        <is>
          <t>Date</t>
        </is>
      </c>
      <c r="C6" s="9" t="inlineStr">
        <is>
          <t>What</t>
        </is>
      </c>
      <c r="D6" s="9" t="inlineStr">
        <is>
          <t>Category</t>
        </is>
      </c>
      <c r="E6" s="9" t="inlineStr">
        <is>
          <t>Amount</t>
        </is>
      </c>
      <c r="G6" s="17" t="inlineStr">
        <is>
          <t>Income this month</t>
        </is>
      </c>
      <c r="H6" s="25">
        <f>'Setup'!$C$18</f>
        <v/>
      </c>
      <c r="I6" s="26" t="inlineStr">
        <is>
          <t>Type over this if your income was different</t>
        </is>
      </c>
    </row>
    <row r="7">
      <c r="B7" s="27" t="n"/>
      <c r="C7" s="28" t="n"/>
      <c r="D7" s="15" t="n"/>
      <c r="E7" s="24" t="n"/>
      <c r="G7" s="17" t="inlineStr">
        <is>
          <t>Spent</t>
        </is>
      </c>
      <c r="H7" s="29">
        <f>SUM(E7:E86)</f>
        <v/>
      </c>
    </row>
    <row r="8">
      <c r="B8" s="27" t="n"/>
      <c r="C8" s="28" t="n"/>
      <c r="D8" s="15" t="n"/>
      <c r="E8" s="24" t="n"/>
      <c r="G8" s="17" t="inlineStr">
        <is>
          <t>Left over</t>
        </is>
      </c>
      <c r="H8" s="29">
        <f>H6-H7</f>
        <v/>
      </c>
    </row>
    <row r="9">
      <c r="B9" s="27" t="n"/>
      <c r="C9" s="28" t="n"/>
      <c r="D9" s="15" t="n"/>
      <c r="E9" s="24" t="n"/>
      <c r="G9" s="17" t="inlineStr">
        <is>
          <t>Saved and debt paid</t>
        </is>
      </c>
      <c r="H9" s="29">
        <f>SUMPRODUCT(SUMIFS($E$7:$E$86,$D$7:$D$86,'Setup'!$E$10:$E$39)*(('Setup'!$F$10:$F$39="Savings")+('Setup'!$F$10:$F$39="Debt")))</f>
        <v/>
      </c>
    </row>
    <row r="10">
      <c r="B10" s="27" t="n"/>
      <c r="C10" s="28" t="n"/>
      <c r="D10" s="15" t="n"/>
      <c r="E10" s="24" t="n"/>
    </row>
    <row r="11" ht="22" customHeight="1">
      <c r="B11" s="27" t="n"/>
      <c r="C11" s="28" t="n"/>
      <c r="D11" s="15" t="n"/>
      <c r="E11" s="24" t="n"/>
      <c r="G11" s="9" t="inlineStr">
        <is>
          <t>Category</t>
        </is>
      </c>
      <c r="H11" s="9" t="inlineStr">
        <is>
          <t>Budget</t>
        </is>
      </c>
      <c r="I11" s="9" t="inlineStr">
        <is>
          <t>Spent</t>
        </is>
      </c>
      <c r="J11" s="9" t="inlineStr">
        <is>
          <t>Left</t>
        </is>
      </c>
      <c r="K11" s="9" t="inlineStr">
        <is>
          <t>Used</t>
        </is>
      </c>
      <c r="L11" s="9" t="inlineStr"/>
    </row>
    <row r="12">
      <c r="B12" s="27" t="n"/>
      <c r="C12" s="28" t="n"/>
      <c r="D12" s="15" t="n"/>
      <c r="E12" s="24" t="n"/>
      <c r="G12" s="10">
        <f>IF('Setup'!E10="","",'Setup'!E10)</f>
        <v/>
      </c>
      <c r="H12" s="20">
        <f>IF(G12="","",'Setup'!G10)</f>
        <v/>
      </c>
      <c r="I12" s="20">
        <f>IF(G12="","",SUMIFS($E$7:$E$86,$D$7:$D$86,G12))</f>
        <v/>
      </c>
      <c r="J12" s="20">
        <f>IF(G12="","",H12-I12)</f>
        <v/>
      </c>
      <c r="K12" s="30">
        <f>IF(OR(G12="",H12=0),"",I12/H12)</f>
        <v/>
      </c>
      <c r="L12" s="31">
        <f>IF(K12="","",REPT("█",ROUND(MIN(1,MAX(0,K12))*10,0))&amp;REPT("░",10-ROUND(MIN(1,MAX(0,K12))*10,0)))</f>
        <v/>
      </c>
    </row>
    <row r="13">
      <c r="B13" s="27" t="n"/>
      <c r="C13" s="28" t="n"/>
      <c r="D13" s="15" t="n"/>
      <c r="E13" s="24" t="n"/>
      <c r="G13" s="10">
        <f>IF('Setup'!E11="","",'Setup'!E11)</f>
        <v/>
      </c>
      <c r="H13" s="20">
        <f>IF(G13="","",'Setup'!G11)</f>
        <v/>
      </c>
      <c r="I13" s="20">
        <f>IF(G13="","",SUMIFS($E$7:$E$86,$D$7:$D$86,G13))</f>
        <v/>
      </c>
      <c r="J13" s="20">
        <f>IF(G13="","",H13-I13)</f>
        <v/>
      </c>
      <c r="K13" s="30">
        <f>IF(OR(G13="",H13=0),"",I13/H13)</f>
        <v/>
      </c>
      <c r="L13" s="31">
        <f>IF(K13="","",REPT("█",ROUND(MIN(1,MAX(0,K13))*10,0))&amp;REPT("░",10-ROUND(MIN(1,MAX(0,K13))*10,0)))</f>
        <v/>
      </c>
    </row>
    <row r="14">
      <c r="B14" s="27" t="n"/>
      <c r="C14" s="28" t="n"/>
      <c r="D14" s="15" t="n"/>
      <c r="E14" s="24" t="n"/>
      <c r="G14" s="10">
        <f>IF('Setup'!E12="","",'Setup'!E12)</f>
        <v/>
      </c>
      <c r="H14" s="20">
        <f>IF(G14="","",'Setup'!G12)</f>
        <v/>
      </c>
      <c r="I14" s="20">
        <f>IF(G14="","",SUMIFS($E$7:$E$86,$D$7:$D$86,G14))</f>
        <v/>
      </c>
      <c r="J14" s="20">
        <f>IF(G14="","",H14-I14)</f>
        <v/>
      </c>
      <c r="K14" s="30">
        <f>IF(OR(G14="",H14=0),"",I14/H14)</f>
        <v/>
      </c>
      <c r="L14" s="31">
        <f>IF(K14="","",REPT("█",ROUND(MIN(1,MAX(0,K14))*10,0))&amp;REPT("░",10-ROUND(MIN(1,MAX(0,K14))*10,0)))</f>
        <v/>
      </c>
    </row>
    <row r="15">
      <c r="B15" s="27" t="n"/>
      <c r="C15" s="28" t="n"/>
      <c r="D15" s="15" t="n"/>
      <c r="E15" s="24" t="n"/>
      <c r="G15" s="10">
        <f>IF('Setup'!E13="","",'Setup'!E13)</f>
        <v/>
      </c>
      <c r="H15" s="20">
        <f>IF(G15="","",'Setup'!G13)</f>
        <v/>
      </c>
      <c r="I15" s="20">
        <f>IF(G15="","",SUMIFS($E$7:$E$86,$D$7:$D$86,G15))</f>
        <v/>
      </c>
      <c r="J15" s="20">
        <f>IF(G15="","",H15-I15)</f>
        <v/>
      </c>
      <c r="K15" s="30">
        <f>IF(OR(G15="",H15=0),"",I15/H15)</f>
        <v/>
      </c>
      <c r="L15" s="31">
        <f>IF(K15="","",REPT("█",ROUND(MIN(1,MAX(0,K15))*10,0))&amp;REPT("░",10-ROUND(MIN(1,MAX(0,K15))*10,0)))</f>
        <v/>
      </c>
    </row>
    <row r="16">
      <c r="B16" s="27" t="n"/>
      <c r="C16" s="28" t="n"/>
      <c r="D16" s="15" t="n"/>
      <c r="E16" s="24" t="n"/>
      <c r="G16" s="10">
        <f>IF('Setup'!E14="","",'Setup'!E14)</f>
        <v/>
      </c>
      <c r="H16" s="20">
        <f>IF(G16="","",'Setup'!G14)</f>
        <v/>
      </c>
      <c r="I16" s="20">
        <f>IF(G16="","",SUMIFS($E$7:$E$86,$D$7:$D$86,G16))</f>
        <v/>
      </c>
      <c r="J16" s="20">
        <f>IF(G16="","",H16-I16)</f>
        <v/>
      </c>
      <c r="K16" s="30">
        <f>IF(OR(G16="",H16=0),"",I16/H16)</f>
        <v/>
      </c>
      <c r="L16" s="31">
        <f>IF(K16="","",REPT("█",ROUND(MIN(1,MAX(0,K16))*10,0))&amp;REPT("░",10-ROUND(MIN(1,MAX(0,K16))*10,0)))</f>
        <v/>
      </c>
    </row>
    <row r="17">
      <c r="B17" s="27" t="n"/>
      <c r="C17" s="28" t="n"/>
      <c r="D17" s="15" t="n"/>
      <c r="E17" s="24" t="n"/>
      <c r="G17" s="10">
        <f>IF('Setup'!E15="","",'Setup'!E15)</f>
        <v/>
      </c>
      <c r="H17" s="20">
        <f>IF(G17="","",'Setup'!G15)</f>
        <v/>
      </c>
      <c r="I17" s="20">
        <f>IF(G17="","",SUMIFS($E$7:$E$86,$D$7:$D$86,G17))</f>
        <v/>
      </c>
      <c r="J17" s="20">
        <f>IF(G17="","",H17-I17)</f>
        <v/>
      </c>
      <c r="K17" s="30">
        <f>IF(OR(G17="",H17=0),"",I17/H17)</f>
        <v/>
      </c>
      <c r="L17" s="31">
        <f>IF(K17="","",REPT("█",ROUND(MIN(1,MAX(0,K17))*10,0))&amp;REPT("░",10-ROUND(MIN(1,MAX(0,K17))*10,0)))</f>
        <v/>
      </c>
    </row>
    <row r="18">
      <c r="B18" s="27" t="n"/>
      <c r="C18" s="28" t="n"/>
      <c r="D18" s="15" t="n"/>
      <c r="E18" s="24" t="n"/>
      <c r="G18" s="10">
        <f>IF('Setup'!E16="","",'Setup'!E16)</f>
        <v/>
      </c>
      <c r="H18" s="20">
        <f>IF(G18="","",'Setup'!G16)</f>
        <v/>
      </c>
      <c r="I18" s="20">
        <f>IF(G18="","",SUMIFS($E$7:$E$86,$D$7:$D$86,G18))</f>
        <v/>
      </c>
      <c r="J18" s="20">
        <f>IF(G18="","",H18-I18)</f>
        <v/>
      </c>
      <c r="K18" s="30">
        <f>IF(OR(G18="",H18=0),"",I18/H18)</f>
        <v/>
      </c>
      <c r="L18" s="31">
        <f>IF(K18="","",REPT("█",ROUND(MIN(1,MAX(0,K18))*10,0))&amp;REPT("░",10-ROUND(MIN(1,MAX(0,K18))*10,0)))</f>
        <v/>
      </c>
    </row>
    <row r="19">
      <c r="B19" s="27" t="n"/>
      <c r="C19" s="28" t="n"/>
      <c r="D19" s="15" t="n"/>
      <c r="E19" s="24" t="n"/>
      <c r="G19" s="10">
        <f>IF('Setup'!E17="","",'Setup'!E17)</f>
        <v/>
      </c>
      <c r="H19" s="20">
        <f>IF(G19="","",'Setup'!G17)</f>
        <v/>
      </c>
      <c r="I19" s="20">
        <f>IF(G19="","",SUMIFS($E$7:$E$86,$D$7:$D$86,G19))</f>
        <v/>
      </c>
      <c r="J19" s="20">
        <f>IF(G19="","",H19-I19)</f>
        <v/>
      </c>
      <c r="K19" s="30">
        <f>IF(OR(G19="",H19=0),"",I19/H19)</f>
        <v/>
      </c>
      <c r="L19" s="31">
        <f>IF(K19="","",REPT("█",ROUND(MIN(1,MAX(0,K19))*10,0))&amp;REPT("░",10-ROUND(MIN(1,MAX(0,K19))*10,0)))</f>
        <v/>
      </c>
    </row>
    <row r="20">
      <c r="B20" s="27" t="n"/>
      <c r="C20" s="28" t="n"/>
      <c r="D20" s="15" t="n"/>
      <c r="E20" s="24" t="n"/>
      <c r="G20" s="10">
        <f>IF('Setup'!E18="","",'Setup'!E18)</f>
        <v/>
      </c>
      <c r="H20" s="20">
        <f>IF(G20="","",'Setup'!G18)</f>
        <v/>
      </c>
      <c r="I20" s="20">
        <f>IF(G20="","",SUMIFS($E$7:$E$86,$D$7:$D$86,G20))</f>
        <v/>
      </c>
      <c r="J20" s="20">
        <f>IF(G20="","",H20-I20)</f>
        <v/>
      </c>
      <c r="K20" s="30">
        <f>IF(OR(G20="",H20=0),"",I20/H20)</f>
        <v/>
      </c>
      <c r="L20" s="31">
        <f>IF(K20="","",REPT("█",ROUND(MIN(1,MAX(0,K20))*10,0))&amp;REPT("░",10-ROUND(MIN(1,MAX(0,K20))*10,0)))</f>
        <v/>
      </c>
    </row>
    <row r="21">
      <c r="B21" s="27" t="n"/>
      <c r="C21" s="28" t="n"/>
      <c r="D21" s="15" t="n"/>
      <c r="E21" s="24" t="n"/>
      <c r="G21" s="10">
        <f>IF('Setup'!E19="","",'Setup'!E19)</f>
        <v/>
      </c>
      <c r="H21" s="20">
        <f>IF(G21="","",'Setup'!G19)</f>
        <v/>
      </c>
      <c r="I21" s="20">
        <f>IF(G21="","",SUMIFS($E$7:$E$86,$D$7:$D$86,G21))</f>
        <v/>
      </c>
      <c r="J21" s="20">
        <f>IF(G21="","",H21-I21)</f>
        <v/>
      </c>
      <c r="K21" s="30">
        <f>IF(OR(G21="",H21=0),"",I21/H21)</f>
        <v/>
      </c>
      <c r="L21" s="31">
        <f>IF(K21="","",REPT("█",ROUND(MIN(1,MAX(0,K21))*10,0))&amp;REPT("░",10-ROUND(MIN(1,MAX(0,K21))*10,0)))</f>
        <v/>
      </c>
    </row>
    <row r="22">
      <c r="B22" s="27" t="n"/>
      <c r="C22" s="28" t="n"/>
      <c r="D22" s="15" t="n"/>
      <c r="E22" s="24" t="n"/>
      <c r="G22" s="10">
        <f>IF('Setup'!E20="","",'Setup'!E20)</f>
        <v/>
      </c>
      <c r="H22" s="20">
        <f>IF(G22="","",'Setup'!G20)</f>
        <v/>
      </c>
      <c r="I22" s="20">
        <f>IF(G22="","",SUMIFS($E$7:$E$86,$D$7:$D$86,G22))</f>
        <v/>
      </c>
      <c r="J22" s="20">
        <f>IF(G22="","",H22-I22)</f>
        <v/>
      </c>
      <c r="K22" s="30">
        <f>IF(OR(G22="",H22=0),"",I22/H22)</f>
        <v/>
      </c>
      <c r="L22" s="31">
        <f>IF(K22="","",REPT("█",ROUND(MIN(1,MAX(0,K22))*10,0))&amp;REPT("░",10-ROUND(MIN(1,MAX(0,K22))*10,0)))</f>
        <v/>
      </c>
    </row>
    <row r="23">
      <c r="B23" s="27" t="n"/>
      <c r="C23" s="28" t="n"/>
      <c r="D23" s="15" t="n"/>
      <c r="E23" s="24" t="n"/>
      <c r="G23" s="10">
        <f>IF('Setup'!E21="","",'Setup'!E21)</f>
        <v/>
      </c>
      <c r="H23" s="20">
        <f>IF(G23="","",'Setup'!G21)</f>
        <v/>
      </c>
      <c r="I23" s="20">
        <f>IF(G23="","",SUMIFS($E$7:$E$86,$D$7:$D$86,G23))</f>
        <v/>
      </c>
      <c r="J23" s="20">
        <f>IF(G23="","",H23-I23)</f>
        <v/>
      </c>
      <c r="K23" s="30">
        <f>IF(OR(G23="",H23=0),"",I23/H23)</f>
        <v/>
      </c>
      <c r="L23" s="31">
        <f>IF(K23="","",REPT("█",ROUND(MIN(1,MAX(0,K23))*10,0))&amp;REPT("░",10-ROUND(MIN(1,MAX(0,K23))*10,0)))</f>
        <v/>
      </c>
    </row>
    <row r="24">
      <c r="B24" s="27" t="n"/>
      <c r="C24" s="28" t="n"/>
      <c r="D24" s="15" t="n"/>
      <c r="E24" s="24" t="n"/>
      <c r="G24" s="10">
        <f>IF('Setup'!E22="","",'Setup'!E22)</f>
        <v/>
      </c>
      <c r="H24" s="20">
        <f>IF(G24="","",'Setup'!G22)</f>
        <v/>
      </c>
      <c r="I24" s="20">
        <f>IF(G24="","",SUMIFS($E$7:$E$86,$D$7:$D$86,G24))</f>
        <v/>
      </c>
      <c r="J24" s="20">
        <f>IF(G24="","",H24-I24)</f>
        <v/>
      </c>
      <c r="K24" s="30">
        <f>IF(OR(G24="",H24=0),"",I24/H24)</f>
        <v/>
      </c>
      <c r="L24" s="31">
        <f>IF(K24="","",REPT("█",ROUND(MIN(1,MAX(0,K24))*10,0))&amp;REPT("░",10-ROUND(MIN(1,MAX(0,K24))*10,0)))</f>
        <v/>
      </c>
    </row>
    <row r="25">
      <c r="B25" s="27" t="n"/>
      <c r="C25" s="28" t="n"/>
      <c r="D25" s="15" t="n"/>
      <c r="E25" s="24" t="n"/>
      <c r="G25" s="10">
        <f>IF('Setup'!E23="","",'Setup'!E23)</f>
        <v/>
      </c>
      <c r="H25" s="20">
        <f>IF(G25="","",'Setup'!G23)</f>
        <v/>
      </c>
      <c r="I25" s="20">
        <f>IF(G25="","",SUMIFS($E$7:$E$86,$D$7:$D$86,G25))</f>
        <v/>
      </c>
      <c r="J25" s="20">
        <f>IF(G25="","",H25-I25)</f>
        <v/>
      </c>
      <c r="K25" s="30">
        <f>IF(OR(G25="",H25=0),"",I25/H25)</f>
        <v/>
      </c>
      <c r="L25" s="31">
        <f>IF(K25="","",REPT("█",ROUND(MIN(1,MAX(0,K25))*10,0))&amp;REPT("░",10-ROUND(MIN(1,MAX(0,K25))*10,0)))</f>
        <v/>
      </c>
    </row>
    <row r="26">
      <c r="B26" s="27" t="n"/>
      <c r="C26" s="28" t="n"/>
      <c r="D26" s="15" t="n"/>
      <c r="E26" s="24" t="n"/>
      <c r="G26" s="10">
        <f>IF('Setup'!E24="","",'Setup'!E24)</f>
        <v/>
      </c>
      <c r="H26" s="20">
        <f>IF(G26="","",'Setup'!G24)</f>
        <v/>
      </c>
      <c r="I26" s="20">
        <f>IF(G26="","",SUMIFS($E$7:$E$86,$D$7:$D$86,G26))</f>
        <v/>
      </c>
      <c r="J26" s="20">
        <f>IF(G26="","",H26-I26)</f>
        <v/>
      </c>
      <c r="K26" s="30">
        <f>IF(OR(G26="",H26=0),"",I26/H26)</f>
        <v/>
      </c>
      <c r="L26" s="31">
        <f>IF(K26="","",REPT("█",ROUND(MIN(1,MAX(0,K26))*10,0))&amp;REPT("░",10-ROUND(MIN(1,MAX(0,K26))*10,0)))</f>
        <v/>
      </c>
    </row>
    <row r="27">
      <c r="B27" s="27" t="n"/>
      <c r="C27" s="28" t="n"/>
      <c r="D27" s="15" t="n"/>
      <c r="E27" s="24" t="n"/>
      <c r="G27" s="10">
        <f>IF('Setup'!E25="","",'Setup'!E25)</f>
        <v/>
      </c>
      <c r="H27" s="20">
        <f>IF(G27="","",'Setup'!G25)</f>
        <v/>
      </c>
      <c r="I27" s="20">
        <f>IF(G27="","",SUMIFS($E$7:$E$86,$D$7:$D$86,G27))</f>
        <v/>
      </c>
      <c r="J27" s="20">
        <f>IF(G27="","",H27-I27)</f>
        <v/>
      </c>
      <c r="K27" s="30">
        <f>IF(OR(G27="",H27=0),"",I27/H27)</f>
        <v/>
      </c>
      <c r="L27" s="31">
        <f>IF(K27="","",REPT("█",ROUND(MIN(1,MAX(0,K27))*10,0))&amp;REPT("░",10-ROUND(MIN(1,MAX(0,K27))*10,0)))</f>
        <v/>
      </c>
    </row>
    <row r="28">
      <c r="B28" s="27" t="n"/>
      <c r="C28" s="28" t="n"/>
      <c r="D28" s="15" t="n"/>
      <c r="E28" s="24" t="n"/>
      <c r="G28" s="10">
        <f>IF('Setup'!E26="","",'Setup'!E26)</f>
        <v/>
      </c>
      <c r="H28" s="20">
        <f>IF(G28="","",'Setup'!G26)</f>
        <v/>
      </c>
      <c r="I28" s="20">
        <f>IF(G28="","",SUMIFS($E$7:$E$86,$D$7:$D$86,G28))</f>
        <v/>
      </c>
      <c r="J28" s="20">
        <f>IF(G28="","",H28-I28)</f>
        <v/>
      </c>
      <c r="K28" s="30">
        <f>IF(OR(G28="",H28=0),"",I28/H28)</f>
        <v/>
      </c>
      <c r="L28" s="31">
        <f>IF(K28="","",REPT("█",ROUND(MIN(1,MAX(0,K28))*10,0))&amp;REPT("░",10-ROUND(MIN(1,MAX(0,K28))*10,0)))</f>
        <v/>
      </c>
    </row>
    <row r="29">
      <c r="B29" s="27" t="n"/>
      <c r="C29" s="28" t="n"/>
      <c r="D29" s="15" t="n"/>
      <c r="E29" s="24" t="n"/>
      <c r="G29" s="10">
        <f>IF('Setup'!E27="","",'Setup'!E27)</f>
        <v/>
      </c>
      <c r="H29" s="20">
        <f>IF(G29="","",'Setup'!G27)</f>
        <v/>
      </c>
      <c r="I29" s="20">
        <f>IF(G29="","",SUMIFS($E$7:$E$86,$D$7:$D$86,G29))</f>
        <v/>
      </c>
      <c r="J29" s="20">
        <f>IF(G29="","",H29-I29)</f>
        <v/>
      </c>
      <c r="K29" s="30">
        <f>IF(OR(G29="",H29=0),"",I29/H29)</f>
        <v/>
      </c>
      <c r="L29" s="31">
        <f>IF(K29="","",REPT("█",ROUND(MIN(1,MAX(0,K29))*10,0))&amp;REPT("░",10-ROUND(MIN(1,MAX(0,K29))*10,0)))</f>
        <v/>
      </c>
    </row>
    <row r="30">
      <c r="B30" s="27" t="n"/>
      <c r="C30" s="28" t="n"/>
      <c r="D30" s="15" t="n"/>
      <c r="E30" s="24" t="n"/>
      <c r="G30" s="10">
        <f>IF('Setup'!E28="","",'Setup'!E28)</f>
        <v/>
      </c>
      <c r="H30" s="20">
        <f>IF(G30="","",'Setup'!G28)</f>
        <v/>
      </c>
      <c r="I30" s="20">
        <f>IF(G30="","",SUMIFS($E$7:$E$86,$D$7:$D$86,G30))</f>
        <v/>
      </c>
      <c r="J30" s="20">
        <f>IF(G30="","",H30-I30)</f>
        <v/>
      </c>
      <c r="K30" s="30">
        <f>IF(OR(G30="",H30=0),"",I30/H30)</f>
        <v/>
      </c>
      <c r="L30" s="31">
        <f>IF(K30="","",REPT("█",ROUND(MIN(1,MAX(0,K30))*10,0))&amp;REPT("░",10-ROUND(MIN(1,MAX(0,K30))*10,0)))</f>
        <v/>
      </c>
    </row>
    <row r="31">
      <c r="B31" s="27" t="n"/>
      <c r="C31" s="28" t="n"/>
      <c r="D31" s="15" t="n"/>
      <c r="E31" s="24" t="n"/>
      <c r="G31" s="10">
        <f>IF('Setup'!E29="","",'Setup'!E29)</f>
        <v/>
      </c>
      <c r="H31" s="20">
        <f>IF(G31="","",'Setup'!G29)</f>
        <v/>
      </c>
      <c r="I31" s="20">
        <f>IF(G31="","",SUMIFS($E$7:$E$86,$D$7:$D$86,G31))</f>
        <v/>
      </c>
      <c r="J31" s="20">
        <f>IF(G31="","",H31-I31)</f>
        <v/>
      </c>
      <c r="K31" s="30">
        <f>IF(OR(G31="",H31=0),"",I31/H31)</f>
        <v/>
      </c>
      <c r="L31" s="31">
        <f>IF(K31="","",REPT("█",ROUND(MIN(1,MAX(0,K31))*10,0))&amp;REPT("░",10-ROUND(MIN(1,MAX(0,K31))*10,0)))</f>
        <v/>
      </c>
    </row>
    <row r="32">
      <c r="B32" s="27" t="n"/>
      <c r="C32" s="28" t="n"/>
      <c r="D32" s="15" t="n"/>
      <c r="E32" s="24" t="n"/>
      <c r="G32" s="10">
        <f>IF('Setup'!E30="","",'Setup'!E30)</f>
        <v/>
      </c>
      <c r="H32" s="20">
        <f>IF(G32="","",'Setup'!G30)</f>
        <v/>
      </c>
      <c r="I32" s="20">
        <f>IF(G32="","",SUMIFS($E$7:$E$86,$D$7:$D$86,G32))</f>
        <v/>
      </c>
      <c r="J32" s="20">
        <f>IF(G32="","",H32-I32)</f>
        <v/>
      </c>
      <c r="K32" s="30">
        <f>IF(OR(G32="",H32=0),"",I32/H32)</f>
        <v/>
      </c>
      <c r="L32" s="31">
        <f>IF(K32="","",REPT("█",ROUND(MIN(1,MAX(0,K32))*10,0))&amp;REPT("░",10-ROUND(MIN(1,MAX(0,K32))*10,0)))</f>
        <v/>
      </c>
    </row>
    <row r="33">
      <c r="B33" s="27" t="n"/>
      <c r="C33" s="28" t="n"/>
      <c r="D33" s="15" t="n"/>
      <c r="E33" s="24" t="n"/>
      <c r="G33" s="10">
        <f>IF('Setup'!E31="","",'Setup'!E31)</f>
        <v/>
      </c>
      <c r="H33" s="20">
        <f>IF(G33="","",'Setup'!G31)</f>
        <v/>
      </c>
      <c r="I33" s="20">
        <f>IF(G33="","",SUMIFS($E$7:$E$86,$D$7:$D$86,G33))</f>
        <v/>
      </c>
      <c r="J33" s="20">
        <f>IF(G33="","",H33-I33)</f>
        <v/>
      </c>
      <c r="K33" s="30">
        <f>IF(OR(G33="",H33=0),"",I33/H33)</f>
        <v/>
      </c>
      <c r="L33" s="31">
        <f>IF(K33="","",REPT("█",ROUND(MIN(1,MAX(0,K33))*10,0))&amp;REPT("░",10-ROUND(MIN(1,MAX(0,K33))*10,0)))</f>
        <v/>
      </c>
    </row>
    <row r="34">
      <c r="B34" s="27" t="n"/>
      <c r="C34" s="28" t="n"/>
      <c r="D34" s="15" t="n"/>
      <c r="E34" s="24" t="n"/>
      <c r="G34" s="10">
        <f>IF('Setup'!E32="","",'Setup'!E32)</f>
        <v/>
      </c>
      <c r="H34" s="20">
        <f>IF(G34="","",'Setup'!G32)</f>
        <v/>
      </c>
      <c r="I34" s="20">
        <f>IF(G34="","",SUMIFS($E$7:$E$86,$D$7:$D$86,G34))</f>
        <v/>
      </c>
      <c r="J34" s="20">
        <f>IF(G34="","",H34-I34)</f>
        <v/>
      </c>
      <c r="K34" s="30">
        <f>IF(OR(G34="",H34=0),"",I34/H34)</f>
        <v/>
      </c>
      <c r="L34" s="31">
        <f>IF(K34="","",REPT("█",ROUND(MIN(1,MAX(0,K34))*10,0))&amp;REPT("░",10-ROUND(MIN(1,MAX(0,K34))*10,0)))</f>
        <v/>
      </c>
    </row>
    <row r="35">
      <c r="B35" s="27" t="n"/>
      <c r="C35" s="28" t="n"/>
      <c r="D35" s="15" t="n"/>
      <c r="E35" s="24" t="n"/>
      <c r="G35" s="10">
        <f>IF('Setup'!E33="","",'Setup'!E33)</f>
        <v/>
      </c>
      <c r="H35" s="20">
        <f>IF(G35="","",'Setup'!G33)</f>
        <v/>
      </c>
      <c r="I35" s="20">
        <f>IF(G35="","",SUMIFS($E$7:$E$86,$D$7:$D$86,G35))</f>
        <v/>
      </c>
      <c r="J35" s="20">
        <f>IF(G35="","",H35-I35)</f>
        <v/>
      </c>
      <c r="K35" s="30">
        <f>IF(OR(G35="",H35=0),"",I35/H35)</f>
        <v/>
      </c>
      <c r="L35" s="31">
        <f>IF(K35="","",REPT("█",ROUND(MIN(1,MAX(0,K35))*10,0))&amp;REPT("░",10-ROUND(MIN(1,MAX(0,K35))*10,0)))</f>
        <v/>
      </c>
    </row>
    <row r="36">
      <c r="B36" s="27" t="n"/>
      <c r="C36" s="28" t="n"/>
      <c r="D36" s="15" t="n"/>
      <c r="E36" s="24" t="n"/>
      <c r="G36" s="10">
        <f>IF('Setup'!E34="","",'Setup'!E34)</f>
        <v/>
      </c>
      <c r="H36" s="20">
        <f>IF(G36="","",'Setup'!G34)</f>
        <v/>
      </c>
      <c r="I36" s="20">
        <f>IF(G36="","",SUMIFS($E$7:$E$86,$D$7:$D$86,G36))</f>
        <v/>
      </c>
      <c r="J36" s="20">
        <f>IF(G36="","",H36-I36)</f>
        <v/>
      </c>
      <c r="K36" s="30">
        <f>IF(OR(G36="",H36=0),"",I36/H36)</f>
        <v/>
      </c>
      <c r="L36" s="31">
        <f>IF(K36="","",REPT("█",ROUND(MIN(1,MAX(0,K36))*10,0))&amp;REPT("░",10-ROUND(MIN(1,MAX(0,K36))*10,0)))</f>
        <v/>
      </c>
    </row>
    <row r="37">
      <c r="B37" s="27" t="n"/>
      <c r="C37" s="28" t="n"/>
      <c r="D37" s="15" t="n"/>
      <c r="E37" s="24" t="n"/>
      <c r="G37" s="10">
        <f>IF('Setup'!E35="","",'Setup'!E35)</f>
        <v/>
      </c>
      <c r="H37" s="20">
        <f>IF(G37="","",'Setup'!G35)</f>
        <v/>
      </c>
      <c r="I37" s="20">
        <f>IF(G37="","",SUMIFS($E$7:$E$86,$D$7:$D$86,G37))</f>
        <v/>
      </c>
      <c r="J37" s="20">
        <f>IF(G37="","",H37-I37)</f>
        <v/>
      </c>
      <c r="K37" s="30">
        <f>IF(OR(G37="",H37=0),"",I37/H37)</f>
        <v/>
      </c>
      <c r="L37" s="31">
        <f>IF(K37="","",REPT("█",ROUND(MIN(1,MAX(0,K37))*10,0))&amp;REPT("░",10-ROUND(MIN(1,MAX(0,K37))*10,0)))</f>
        <v/>
      </c>
    </row>
    <row r="38">
      <c r="B38" s="27" t="n"/>
      <c r="C38" s="28" t="n"/>
      <c r="D38" s="15" t="n"/>
      <c r="E38" s="24" t="n"/>
      <c r="G38" s="10">
        <f>IF('Setup'!E36="","",'Setup'!E36)</f>
        <v/>
      </c>
      <c r="H38" s="20">
        <f>IF(G38="","",'Setup'!G36)</f>
        <v/>
      </c>
      <c r="I38" s="20">
        <f>IF(G38="","",SUMIFS($E$7:$E$86,$D$7:$D$86,G38))</f>
        <v/>
      </c>
      <c r="J38" s="20">
        <f>IF(G38="","",H38-I38)</f>
        <v/>
      </c>
      <c r="K38" s="30">
        <f>IF(OR(G38="",H38=0),"",I38/H38)</f>
        <v/>
      </c>
      <c r="L38" s="31">
        <f>IF(K38="","",REPT("█",ROUND(MIN(1,MAX(0,K38))*10,0))&amp;REPT("░",10-ROUND(MIN(1,MAX(0,K38))*10,0)))</f>
        <v/>
      </c>
    </row>
    <row r="39">
      <c r="B39" s="27" t="n"/>
      <c r="C39" s="28" t="n"/>
      <c r="D39" s="15" t="n"/>
      <c r="E39" s="24" t="n"/>
      <c r="G39" s="10">
        <f>IF('Setup'!E37="","",'Setup'!E37)</f>
        <v/>
      </c>
      <c r="H39" s="20">
        <f>IF(G39="","",'Setup'!G37)</f>
        <v/>
      </c>
      <c r="I39" s="20">
        <f>IF(G39="","",SUMIFS($E$7:$E$86,$D$7:$D$86,G39))</f>
        <v/>
      </c>
      <c r="J39" s="20">
        <f>IF(G39="","",H39-I39)</f>
        <v/>
      </c>
      <c r="K39" s="30">
        <f>IF(OR(G39="",H39=0),"",I39/H39)</f>
        <v/>
      </c>
      <c r="L39" s="31">
        <f>IF(K39="","",REPT("█",ROUND(MIN(1,MAX(0,K39))*10,0))&amp;REPT("░",10-ROUND(MIN(1,MAX(0,K39))*10,0)))</f>
        <v/>
      </c>
    </row>
    <row r="40">
      <c r="B40" s="27" t="n"/>
      <c r="C40" s="28" t="n"/>
      <c r="D40" s="15" t="n"/>
      <c r="E40" s="24" t="n"/>
      <c r="G40" s="10">
        <f>IF('Setup'!E38="","",'Setup'!E38)</f>
        <v/>
      </c>
      <c r="H40" s="20">
        <f>IF(G40="","",'Setup'!G38)</f>
        <v/>
      </c>
      <c r="I40" s="20">
        <f>IF(G40="","",SUMIFS($E$7:$E$86,$D$7:$D$86,G40))</f>
        <v/>
      </c>
      <c r="J40" s="20">
        <f>IF(G40="","",H40-I40)</f>
        <v/>
      </c>
      <c r="K40" s="30">
        <f>IF(OR(G40="",H40=0),"",I40/H40)</f>
        <v/>
      </c>
      <c r="L40" s="31">
        <f>IF(K40="","",REPT("█",ROUND(MIN(1,MAX(0,K40))*10,0))&amp;REPT("░",10-ROUND(MIN(1,MAX(0,K40))*10,0)))</f>
        <v/>
      </c>
    </row>
    <row r="41">
      <c r="B41" s="27" t="n"/>
      <c r="C41" s="28" t="n"/>
      <c r="D41" s="15" t="n"/>
      <c r="E41" s="24" t="n"/>
      <c r="G41" s="10">
        <f>IF('Setup'!E39="","",'Setup'!E39)</f>
        <v/>
      </c>
      <c r="H41" s="20">
        <f>IF(G41="","",'Setup'!G39)</f>
        <v/>
      </c>
      <c r="I41" s="20">
        <f>IF(G41="","",SUMIFS($E$7:$E$86,$D$7:$D$86,G41))</f>
        <v/>
      </c>
      <c r="J41" s="20">
        <f>IF(G41="","",H41-I41)</f>
        <v/>
      </c>
      <c r="K41" s="30">
        <f>IF(OR(G41="",H41=0),"",I41/H41)</f>
        <v/>
      </c>
      <c r="L41" s="31">
        <f>IF(K41="","",REPT("█",ROUND(MIN(1,MAX(0,K41))*10,0))&amp;REPT("░",10-ROUND(MIN(1,MAX(0,K41))*10,0)))</f>
        <v/>
      </c>
    </row>
    <row r="42">
      <c r="B42" s="27" t="n"/>
      <c r="C42" s="28" t="n"/>
      <c r="D42" s="15" t="n"/>
      <c r="E42" s="24" t="n"/>
    </row>
    <row r="43">
      <c r="B43" s="27" t="n"/>
      <c r="C43" s="28" t="n"/>
      <c r="D43" s="15" t="n"/>
      <c r="E43" s="24" t="n"/>
    </row>
    <row r="44">
      <c r="B44" s="27" t="n"/>
      <c r="C44" s="28" t="n"/>
      <c r="D44" s="15" t="n"/>
      <c r="E44" s="24" t="n"/>
    </row>
    <row r="45">
      <c r="B45" s="27" t="n"/>
      <c r="C45" s="28" t="n"/>
      <c r="D45" s="15" t="n"/>
      <c r="E45" s="24" t="n"/>
    </row>
    <row r="46">
      <c r="B46" s="27" t="n"/>
      <c r="C46" s="28" t="n"/>
      <c r="D46" s="15" t="n"/>
      <c r="E46" s="24" t="n"/>
    </row>
    <row r="47">
      <c r="B47" s="27" t="n"/>
      <c r="C47" s="28" t="n"/>
      <c r="D47" s="15" t="n"/>
      <c r="E47" s="24" t="n"/>
    </row>
    <row r="48">
      <c r="B48" s="27" t="n"/>
      <c r="C48" s="28" t="n"/>
      <c r="D48" s="15" t="n"/>
      <c r="E48" s="24" t="n"/>
    </row>
    <row r="49">
      <c r="B49" s="27" t="n"/>
      <c r="C49" s="28" t="n"/>
      <c r="D49" s="15" t="n"/>
      <c r="E49" s="24" t="n"/>
    </row>
    <row r="50">
      <c r="B50" s="27" t="n"/>
      <c r="C50" s="28" t="n"/>
      <c r="D50" s="15" t="n"/>
      <c r="E50" s="24" t="n"/>
    </row>
    <row r="51">
      <c r="B51" s="27" t="n"/>
      <c r="C51" s="28" t="n"/>
      <c r="D51" s="15" t="n"/>
      <c r="E51" s="24" t="n"/>
    </row>
    <row r="52">
      <c r="B52" s="27" t="n"/>
      <c r="C52" s="28" t="n"/>
      <c r="D52" s="15" t="n"/>
      <c r="E52" s="24" t="n"/>
    </row>
    <row r="53">
      <c r="B53" s="27" t="n"/>
      <c r="C53" s="28" t="n"/>
      <c r="D53" s="15" t="n"/>
      <c r="E53" s="24" t="n"/>
    </row>
    <row r="54">
      <c r="B54" s="27" t="n"/>
      <c r="C54" s="28" t="n"/>
      <c r="D54" s="15" t="n"/>
      <c r="E54" s="24" t="n"/>
    </row>
    <row r="55">
      <c r="B55" s="27" t="n"/>
      <c r="C55" s="28" t="n"/>
      <c r="D55" s="15" t="n"/>
      <c r="E55" s="24" t="n"/>
    </row>
    <row r="56">
      <c r="B56" s="27" t="n"/>
      <c r="C56" s="28" t="n"/>
      <c r="D56" s="15" t="n"/>
      <c r="E56" s="24" t="n"/>
    </row>
    <row r="57">
      <c r="B57" s="27" t="n"/>
      <c r="C57" s="28" t="n"/>
      <c r="D57" s="15" t="n"/>
      <c r="E57" s="24" t="n"/>
    </row>
    <row r="58">
      <c r="B58" s="27" t="n"/>
      <c r="C58" s="28" t="n"/>
      <c r="D58" s="15" t="n"/>
      <c r="E58" s="24" t="n"/>
    </row>
    <row r="59">
      <c r="B59" s="27" t="n"/>
      <c r="C59" s="28" t="n"/>
      <c r="D59" s="15" t="n"/>
      <c r="E59" s="24" t="n"/>
    </row>
    <row r="60">
      <c r="B60" s="27" t="n"/>
      <c r="C60" s="28" t="n"/>
      <c r="D60" s="15" t="n"/>
      <c r="E60" s="24" t="n"/>
    </row>
    <row r="61">
      <c r="B61" s="27" t="n"/>
      <c r="C61" s="28" t="n"/>
      <c r="D61" s="15" t="n"/>
      <c r="E61" s="24" t="n"/>
    </row>
    <row r="62">
      <c r="B62" s="27" t="n"/>
      <c r="C62" s="28" t="n"/>
      <c r="D62" s="15" t="n"/>
      <c r="E62" s="24" t="n"/>
    </row>
    <row r="63">
      <c r="B63" s="27" t="n"/>
      <c r="C63" s="28" t="n"/>
      <c r="D63" s="15" t="n"/>
      <c r="E63" s="24" t="n"/>
    </row>
    <row r="64">
      <c r="B64" s="27" t="n"/>
      <c r="C64" s="28" t="n"/>
      <c r="D64" s="15" t="n"/>
      <c r="E64" s="24" t="n"/>
    </row>
    <row r="65">
      <c r="B65" s="27" t="n"/>
      <c r="C65" s="28" t="n"/>
      <c r="D65" s="15" t="n"/>
      <c r="E65" s="24" t="n"/>
    </row>
    <row r="66">
      <c r="B66" s="27" t="n"/>
      <c r="C66" s="28" t="n"/>
      <c r="D66" s="15" t="n"/>
      <c r="E66" s="24" t="n"/>
    </row>
    <row r="67">
      <c r="B67" s="27" t="n"/>
      <c r="C67" s="28" t="n"/>
      <c r="D67" s="15" t="n"/>
      <c r="E67" s="24" t="n"/>
    </row>
    <row r="68">
      <c r="B68" s="27" t="n"/>
      <c r="C68" s="28" t="n"/>
      <c r="D68" s="15" t="n"/>
      <c r="E68" s="24" t="n"/>
    </row>
    <row r="69">
      <c r="B69" s="27" t="n"/>
      <c r="C69" s="28" t="n"/>
      <c r="D69" s="15" t="n"/>
      <c r="E69" s="24" t="n"/>
    </row>
    <row r="70">
      <c r="B70" s="27" t="n"/>
      <c r="C70" s="28" t="n"/>
      <c r="D70" s="15" t="n"/>
      <c r="E70" s="24" t="n"/>
    </row>
    <row r="71">
      <c r="B71" s="27" t="n"/>
      <c r="C71" s="28" t="n"/>
      <c r="D71" s="15" t="n"/>
      <c r="E71" s="24" t="n"/>
    </row>
    <row r="72">
      <c r="B72" s="27" t="n"/>
      <c r="C72" s="28" t="n"/>
      <c r="D72" s="15" t="n"/>
      <c r="E72" s="24" t="n"/>
    </row>
    <row r="73">
      <c r="B73" s="27" t="n"/>
      <c r="C73" s="28" t="n"/>
      <c r="D73" s="15" t="n"/>
      <c r="E73" s="24" t="n"/>
    </row>
    <row r="74">
      <c r="B74" s="27" t="n"/>
      <c r="C74" s="28" t="n"/>
      <c r="D74" s="15" t="n"/>
      <c r="E74" s="24" t="n"/>
    </row>
    <row r="75">
      <c r="B75" s="27" t="n"/>
      <c r="C75" s="28" t="n"/>
      <c r="D75" s="15" t="n"/>
      <c r="E75" s="24" t="n"/>
    </row>
    <row r="76">
      <c r="B76" s="27" t="n"/>
      <c r="C76" s="28" t="n"/>
      <c r="D76" s="15" t="n"/>
      <c r="E76" s="24" t="n"/>
    </row>
    <row r="77">
      <c r="B77" s="27" t="n"/>
      <c r="C77" s="28" t="n"/>
      <c r="D77" s="15" t="n"/>
      <c r="E77" s="24" t="n"/>
    </row>
    <row r="78">
      <c r="B78" s="27" t="n"/>
      <c r="C78" s="28" t="n"/>
      <c r="D78" s="15" t="n"/>
      <c r="E78" s="24" t="n"/>
    </row>
    <row r="79">
      <c r="B79" s="27" t="n"/>
      <c r="C79" s="28" t="n"/>
      <c r="D79" s="15" t="n"/>
      <c r="E79" s="24" t="n"/>
    </row>
    <row r="80">
      <c r="B80" s="27" t="n"/>
      <c r="C80" s="28" t="n"/>
      <c r="D80" s="15" t="n"/>
      <c r="E80" s="24" t="n"/>
    </row>
    <row r="81">
      <c r="B81" s="27" t="n"/>
      <c r="C81" s="28" t="n"/>
      <c r="D81" s="15" t="n"/>
      <c r="E81" s="24" t="n"/>
    </row>
    <row r="82">
      <c r="B82" s="27" t="n"/>
      <c r="C82" s="28" t="n"/>
      <c r="D82" s="15" t="n"/>
      <c r="E82" s="24" t="n"/>
    </row>
    <row r="83">
      <c r="B83" s="27" t="n"/>
      <c r="C83" s="28" t="n"/>
      <c r="D83" s="15" t="n"/>
      <c r="E83" s="24" t="n"/>
    </row>
    <row r="84">
      <c r="B84" s="27" t="n"/>
      <c r="C84" s="28" t="n"/>
      <c r="D84" s="15" t="n"/>
      <c r="E84" s="24" t="n"/>
    </row>
    <row r="85">
      <c r="B85" s="27" t="n"/>
      <c r="C85" s="28" t="n"/>
      <c r="D85" s="15" t="n"/>
      <c r="E85" s="24" t="n"/>
    </row>
    <row r="86">
      <c r="B86" s="27" t="n"/>
      <c r="C86" s="28" t="n"/>
      <c r="D86" s="15" t="n"/>
      <c r="E86" s="24" t="n"/>
    </row>
  </sheetData>
  <sheetProtection selectLockedCells="0" selectUnlockedCells="0" sheet="1" objects="0" insertRows="0" insertHyperlinks="1" autoFilter="0" scenarios="0" formatColumns="0" deleteColumns="1" insertColumns="1" pivotTables="1" deleteRows="1" formatCells="1" formatRows="0" sort="0"/>
  <conditionalFormatting sqref="H8">
    <cfRule type="cellIs" priority="1" operator="lessThan" dxfId="1">
      <formula>0</formula>
    </cfRule>
  </conditionalFormatting>
  <conditionalFormatting sqref="J12:J41">
    <cfRule type="cellIs" priority="2" operator="lessThan" dxfId="1">
      <formula>0</formula>
    </cfRule>
  </conditionalFormatting>
  <conditionalFormatting sqref="L12:L41">
    <cfRule type="expression" priority="3" dxfId="2">
      <formula>K12&gt;1</formula>
    </cfRule>
  </conditionalFormatting>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showDropDown="0" showInputMessage="0" showErrorMessage="0" allowBlank="1" type="list">
      <formula1>=Categories</formula1>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gridLines="0"/>
  <pageMargins left="0.75" right="0.75" top="1" bottom="1" header="0.5" footer="0.5"/>
  <pageSetup orientation="landscape" fitToHeight="1" fitToWidth="1"/>
</worksheet>
</file>

<file path=xl/worksheets/sheet7.xml><?xml version="1.0" encoding="utf-8"?>
<worksheet xmlns="http://schemas.openxmlformats.org/spreadsheetml/2006/main">
  <sheetPr>
    <tabColor rgb="002F6F5E"/>
    <outlinePr summaryBelow="1" summaryRight="1"/>
    <pageSetUpPr fitToPage="1"/>
  </sheetPr>
  <dimension ref="B2:L86"/>
  <sheetViews>
    <sheetView showGridLines="0" workbookViewId="0">
      <pane ySplit="6" topLeftCell="A7" activePane="bottomLeft" state="frozen"/>
      <selection pane="bottomLeft" activeCell="A1" sqref="A1"/>
    </sheetView>
  </sheetViews>
  <sheetFormatPr baseColWidth="8" defaultRowHeight="15"/>
  <cols>
    <col width="3" customWidth="1" min="1" max="1"/>
    <col width="12" customWidth="1" min="2" max="2"/>
    <col width="26" customWidth="1" min="3" max="3"/>
    <col width="22" customWidth="1" min="4" max="4"/>
    <col width="14" customWidth="1" min="5" max="5"/>
    <col width="14" customWidth="1" min="6" max="6"/>
    <col width="22" customWidth="1" min="7" max="7"/>
    <col width="13" customWidth="1" min="8" max="8"/>
    <col width="13" customWidth="1" min="9" max="9"/>
    <col width="13" customWidth="1" min="10" max="10"/>
    <col width="9"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April</t>
        </is>
      </c>
    </row>
    <row r="3">
      <c r="B3" s="2" t="inlineStr">
        <is>
          <t>Log what you spend. The summary on the right updates itself.</t>
        </is>
      </c>
    </row>
    <row r="4">
      <c r="B4" s="3" t="inlineStr">
        <is>
          <t>Start here</t>
        </is>
      </c>
      <c r="D4" s="3" t="inlineStr">
        <is>
          <t>Dashboard</t>
        </is>
      </c>
      <c r="E4" s="3" t="inlineStr">
        <is>
          <t>Setup</t>
        </is>
      </c>
      <c r="F4" s="3" t="inlineStr">
        <is>
          <t>Months</t>
        </is>
      </c>
      <c r="G4" s="3" t="inlineStr">
        <is>
          <t>Bills</t>
        </is>
      </c>
      <c r="H4" s="3" t="inlineStr">
        <is>
          <t>Paycheck</t>
        </is>
      </c>
      <c r="I4" s="3" t="inlineStr">
        <is>
          <t>Debt</t>
        </is>
      </c>
      <c r="J4" s="3" t="inlineStr">
        <is>
          <t>Savings</t>
        </is>
      </c>
    </row>
    <row r="6" ht="22" customHeight="1">
      <c r="B6" s="9" t="inlineStr">
        <is>
          <t>Date</t>
        </is>
      </c>
      <c r="C6" s="9" t="inlineStr">
        <is>
          <t>What</t>
        </is>
      </c>
      <c r="D6" s="9" t="inlineStr">
        <is>
          <t>Category</t>
        </is>
      </c>
      <c r="E6" s="9" t="inlineStr">
        <is>
          <t>Amount</t>
        </is>
      </c>
      <c r="G6" s="17" t="inlineStr">
        <is>
          <t>Income this month</t>
        </is>
      </c>
      <c r="H6" s="25">
        <f>'Setup'!$C$18</f>
        <v/>
      </c>
      <c r="I6" s="26" t="inlineStr">
        <is>
          <t>Type over this if your income was different</t>
        </is>
      </c>
    </row>
    <row r="7">
      <c r="B7" s="27" t="n"/>
      <c r="C7" s="28" t="n"/>
      <c r="D7" s="15" t="n"/>
      <c r="E7" s="24" t="n"/>
      <c r="G7" s="17" t="inlineStr">
        <is>
          <t>Spent</t>
        </is>
      </c>
      <c r="H7" s="29">
        <f>SUM(E7:E86)</f>
        <v/>
      </c>
    </row>
    <row r="8">
      <c r="B8" s="27" t="n"/>
      <c r="C8" s="28" t="n"/>
      <c r="D8" s="15" t="n"/>
      <c r="E8" s="24" t="n"/>
      <c r="G8" s="17" t="inlineStr">
        <is>
          <t>Left over</t>
        </is>
      </c>
      <c r="H8" s="29">
        <f>H6-H7</f>
        <v/>
      </c>
    </row>
    <row r="9">
      <c r="B9" s="27" t="n"/>
      <c r="C9" s="28" t="n"/>
      <c r="D9" s="15" t="n"/>
      <c r="E9" s="24" t="n"/>
      <c r="G9" s="17" t="inlineStr">
        <is>
          <t>Saved and debt paid</t>
        </is>
      </c>
      <c r="H9" s="29">
        <f>SUMPRODUCT(SUMIFS($E$7:$E$86,$D$7:$D$86,'Setup'!$E$10:$E$39)*(('Setup'!$F$10:$F$39="Savings")+('Setup'!$F$10:$F$39="Debt")))</f>
        <v/>
      </c>
    </row>
    <row r="10">
      <c r="B10" s="27" t="n"/>
      <c r="C10" s="28" t="n"/>
      <c r="D10" s="15" t="n"/>
      <c r="E10" s="24" t="n"/>
    </row>
    <row r="11" ht="22" customHeight="1">
      <c r="B11" s="27" t="n"/>
      <c r="C11" s="28" t="n"/>
      <c r="D11" s="15" t="n"/>
      <c r="E11" s="24" t="n"/>
      <c r="G11" s="9" t="inlineStr">
        <is>
          <t>Category</t>
        </is>
      </c>
      <c r="H11" s="9" t="inlineStr">
        <is>
          <t>Budget</t>
        </is>
      </c>
      <c r="I11" s="9" t="inlineStr">
        <is>
          <t>Spent</t>
        </is>
      </c>
      <c r="J11" s="9" t="inlineStr">
        <is>
          <t>Left</t>
        </is>
      </c>
      <c r="K11" s="9" t="inlineStr">
        <is>
          <t>Used</t>
        </is>
      </c>
      <c r="L11" s="9" t="inlineStr"/>
    </row>
    <row r="12">
      <c r="B12" s="27" t="n"/>
      <c r="C12" s="28" t="n"/>
      <c r="D12" s="15" t="n"/>
      <c r="E12" s="24" t="n"/>
      <c r="G12" s="10">
        <f>IF('Setup'!E10="","",'Setup'!E10)</f>
        <v/>
      </c>
      <c r="H12" s="20">
        <f>IF(G12="","",'Setup'!G10)</f>
        <v/>
      </c>
      <c r="I12" s="20">
        <f>IF(G12="","",SUMIFS($E$7:$E$86,$D$7:$D$86,G12))</f>
        <v/>
      </c>
      <c r="J12" s="20">
        <f>IF(G12="","",H12-I12)</f>
        <v/>
      </c>
      <c r="K12" s="30">
        <f>IF(OR(G12="",H12=0),"",I12/H12)</f>
        <v/>
      </c>
      <c r="L12" s="31">
        <f>IF(K12="","",REPT("█",ROUND(MIN(1,MAX(0,K12))*10,0))&amp;REPT("░",10-ROUND(MIN(1,MAX(0,K12))*10,0)))</f>
        <v/>
      </c>
    </row>
    <row r="13">
      <c r="B13" s="27" t="n"/>
      <c r="C13" s="28" t="n"/>
      <c r="D13" s="15" t="n"/>
      <c r="E13" s="24" t="n"/>
      <c r="G13" s="10">
        <f>IF('Setup'!E11="","",'Setup'!E11)</f>
        <v/>
      </c>
      <c r="H13" s="20">
        <f>IF(G13="","",'Setup'!G11)</f>
        <v/>
      </c>
      <c r="I13" s="20">
        <f>IF(G13="","",SUMIFS($E$7:$E$86,$D$7:$D$86,G13))</f>
        <v/>
      </c>
      <c r="J13" s="20">
        <f>IF(G13="","",H13-I13)</f>
        <v/>
      </c>
      <c r="K13" s="30">
        <f>IF(OR(G13="",H13=0),"",I13/H13)</f>
        <v/>
      </c>
      <c r="L13" s="31">
        <f>IF(K13="","",REPT("█",ROUND(MIN(1,MAX(0,K13))*10,0))&amp;REPT("░",10-ROUND(MIN(1,MAX(0,K13))*10,0)))</f>
        <v/>
      </c>
    </row>
    <row r="14">
      <c r="B14" s="27" t="n"/>
      <c r="C14" s="28" t="n"/>
      <c r="D14" s="15" t="n"/>
      <c r="E14" s="24" t="n"/>
      <c r="G14" s="10">
        <f>IF('Setup'!E12="","",'Setup'!E12)</f>
        <v/>
      </c>
      <c r="H14" s="20">
        <f>IF(G14="","",'Setup'!G12)</f>
        <v/>
      </c>
      <c r="I14" s="20">
        <f>IF(G14="","",SUMIFS($E$7:$E$86,$D$7:$D$86,G14))</f>
        <v/>
      </c>
      <c r="J14" s="20">
        <f>IF(G14="","",H14-I14)</f>
        <v/>
      </c>
      <c r="K14" s="30">
        <f>IF(OR(G14="",H14=0),"",I14/H14)</f>
        <v/>
      </c>
      <c r="L14" s="31">
        <f>IF(K14="","",REPT("█",ROUND(MIN(1,MAX(0,K14))*10,0))&amp;REPT("░",10-ROUND(MIN(1,MAX(0,K14))*10,0)))</f>
        <v/>
      </c>
    </row>
    <row r="15">
      <c r="B15" s="27" t="n"/>
      <c r="C15" s="28" t="n"/>
      <c r="D15" s="15" t="n"/>
      <c r="E15" s="24" t="n"/>
      <c r="G15" s="10">
        <f>IF('Setup'!E13="","",'Setup'!E13)</f>
        <v/>
      </c>
      <c r="H15" s="20">
        <f>IF(G15="","",'Setup'!G13)</f>
        <v/>
      </c>
      <c r="I15" s="20">
        <f>IF(G15="","",SUMIFS($E$7:$E$86,$D$7:$D$86,G15))</f>
        <v/>
      </c>
      <c r="J15" s="20">
        <f>IF(G15="","",H15-I15)</f>
        <v/>
      </c>
      <c r="K15" s="30">
        <f>IF(OR(G15="",H15=0),"",I15/H15)</f>
        <v/>
      </c>
      <c r="L15" s="31">
        <f>IF(K15="","",REPT("█",ROUND(MIN(1,MAX(0,K15))*10,0))&amp;REPT("░",10-ROUND(MIN(1,MAX(0,K15))*10,0)))</f>
        <v/>
      </c>
    </row>
    <row r="16">
      <c r="B16" s="27" t="n"/>
      <c r="C16" s="28" t="n"/>
      <c r="D16" s="15" t="n"/>
      <c r="E16" s="24" t="n"/>
      <c r="G16" s="10">
        <f>IF('Setup'!E14="","",'Setup'!E14)</f>
        <v/>
      </c>
      <c r="H16" s="20">
        <f>IF(G16="","",'Setup'!G14)</f>
        <v/>
      </c>
      <c r="I16" s="20">
        <f>IF(G16="","",SUMIFS($E$7:$E$86,$D$7:$D$86,G16))</f>
        <v/>
      </c>
      <c r="J16" s="20">
        <f>IF(G16="","",H16-I16)</f>
        <v/>
      </c>
      <c r="K16" s="30">
        <f>IF(OR(G16="",H16=0),"",I16/H16)</f>
        <v/>
      </c>
      <c r="L16" s="31">
        <f>IF(K16="","",REPT("█",ROUND(MIN(1,MAX(0,K16))*10,0))&amp;REPT("░",10-ROUND(MIN(1,MAX(0,K16))*10,0)))</f>
        <v/>
      </c>
    </row>
    <row r="17">
      <c r="B17" s="27" t="n"/>
      <c r="C17" s="28" t="n"/>
      <c r="D17" s="15" t="n"/>
      <c r="E17" s="24" t="n"/>
      <c r="G17" s="10">
        <f>IF('Setup'!E15="","",'Setup'!E15)</f>
        <v/>
      </c>
      <c r="H17" s="20">
        <f>IF(G17="","",'Setup'!G15)</f>
        <v/>
      </c>
      <c r="I17" s="20">
        <f>IF(G17="","",SUMIFS($E$7:$E$86,$D$7:$D$86,G17))</f>
        <v/>
      </c>
      <c r="J17" s="20">
        <f>IF(G17="","",H17-I17)</f>
        <v/>
      </c>
      <c r="K17" s="30">
        <f>IF(OR(G17="",H17=0),"",I17/H17)</f>
        <v/>
      </c>
      <c r="L17" s="31">
        <f>IF(K17="","",REPT("█",ROUND(MIN(1,MAX(0,K17))*10,0))&amp;REPT("░",10-ROUND(MIN(1,MAX(0,K17))*10,0)))</f>
        <v/>
      </c>
    </row>
    <row r="18">
      <c r="B18" s="27" t="n"/>
      <c r="C18" s="28" t="n"/>
      <c r="D18" s="15" t="n"/>
      <c r="E18" s="24" t="n"/>
      <c r="G18" s="10">
        <f>IF('Setup'!E16="","",'Setup'!E16)</f>
        <v/>
      </c>
      <c r="H18" s="20">
        <f>IF(G18="","",'Setup'!G16)</f>
        <v/>
      </c>
      <c r="I18" s="20">
        <f>IF(G18="","",SUMIFS($E$7:$E$86,$D$7:$D$86,G18))</f>
        <v/>
      </c>
      <c r="J18" s="20">
        <f>IF(G18="","",H18-I18)</f>
        <v/>
      </c>
      <c r="K18" s="30">
        <f>IF(OR(G18="",H18=0),"",I18/H18)</f>
        <v/>
      </c>
      <c r="L18" s="31">
        <f>IF(K18="","",REPT("█",ROUND(MIN(1,MAX(0,K18))*10,0))&amp;REPT("░",10-ROUND(MIN(1,MAX(0,K18))*10,0)))</f>
        <v/>
      </c>
    </row>
    <row r="19">
      <c r="B19" s="27" t="n"/>
      <c r="C19" s="28" t="n"/>
      <c r="D19" s="15" t="n"/>
      <c r="E19" s="24" t="n"/>
      <c r="G19" s="10">
        <f>IF('Setup'!E17="","",'Setup'!E17)</f>
        <v/>
      </c>
      <c r="H19" s="20">
        <f>IF(G19="","",'Setup'!G17)</f>
        <v/>
      </c>
      <c r="I19" s="20">
        <f>IF(G19="","",SUMIFS($E$7:$E$86,$D$7:$D$86,G19))</f>
        <v/>
      </c>
      <c r="J19" s="20">
        <f>IF(G19="","",H19-I19)</f>
        <v/>
      </c>
      <c r="K19" s="30">
        <f>IF(OR(G19="",H19=0),"",I19/H19)</f>
        <v/>
      </c>
      <c r="L19" s="31">
        <f>IF(K19="","",REPT("█",ROUND(MIN(1,MAX(0,K19))*10,0))&amp;REPT("░",10-ROUND(MIN(1,MAX(0,K19))*10,0)))</f>
        <v/>
      </c>
    </row>
    <row r="20">
      <c r="B20" s="27" t="n"/>
      <c r="C20" s="28" t="n"/>
      <c r="D20" s="15" t="n"/>
      <c r="E20" s="24" t="n"/>
      <c r="G20" s="10">
        <f>IF('Setup'!E18="","",'Setup'!E18)</f>
        <v/>
      </c>
      <c r="H20" s="20">
        <f>IF(G20="","",'Setup'!G18)</f>
        <v/>
      </c>
      <c r="I20" s="20">
        <f>IF(G20="","",SUMIFS($E$7:$E$86,$D$7:$D$86,G20))</f>
        <v/>
      </c>
      <c r="J20" s="20">
        <f>IF(G20="","",H20-I20)</f>
        <v/>
      </c>
      <c r="K20" s="30">
        <f>IF(OR(G20="",H20=0),"",I20/H20)</f>
        <v/>
      </c>
      <c r="L20" s="31">
        <f>IF(K20="","",REPT("█",ROUND(MIN(1,MAX(0,K20))*10,0))&amp;REPT("░",10-ROUND(MIN(1,MAX(0,K20))*10,0)))</f>
        <v/>
      </c>
    </row>
    <row r="21">
      <c r="B21" s="27" t="n"/>
      <c r="C21" s="28" t="n"/>
      <c r="D21" s="15" t="n"/>
      <c r="E21" s="24" t="n"/>
      <c r="G21" s="10">
        <f>IF('Setup'!E19="","",'Setup'!E19)</f>
        <v/>
      </c>
      <c r="H21" s="20">
        <f>IF(G21="","",'Setup'!G19)</f>
        <v/>
      </c>
      <c r="I21" s="20">
        <f>IF(G21="","",SUMIFS($E$7:$E$86,$D$7:$D$86,G21))</f>
        <v/>
      </c>
      <c r="J21" s="20">
        <f>IF(G21="","",H21-I21)</f>
        <v/>
      </c>
      <c r="K21" s="30">
        <f>IF(OR(G21="",H21=0),"",I21/H21)</f>
        <v/>
      </c>
      <c r="L21" s="31">
        <f>IF(K21="","",REPT("█",ROUND(MIN(1,MAX(0,K21))*10,0))&amp;REPT("░",10-ROUND(MIN(1,MAX(0,K21))*10,0)))</f>
        <v/>
      </c>
    </row>
    <row r="22">
      <c r="B22" s="27" t="n"/>
      <c r="C22" s="28" t="n"/>
      <c r="D22" s="15" t="n"/>
      <c r="E22" s="24" t="n"/>
      <c r="G22" s="10">
        <f>IF('Setup'!E20="","",'Setup'!E20)</f>
        <v/>
      </c>
      <c r="H22" s="20">
        <f>IF(G22="","",'Setup'!G20)</f>
        <v/>
      </c>
      <c r="I22" s="20">
        <f>IF(G22="","",SUMIFS($E$7:$E$86,$D$7:$D$86,G22))</f>
        <v/>
      </c>
      <c r="J22" s="20">
        <f>IF(G22="","",H22-I22)</f>
        <v/>
      </c>
      <c r="K22" s="30">
        <f>IF(OR(G22="",H22=0),"",I22/H22)</f>
        <v/>
      </c>
      <c r="L22" s="31">
        <f>IF(K22="","",REPT("█",ROUND(MIN(1,MAX(0,K22))*10,0))&amp;REPT("░",10-ROUND(MIN(1,MAX(0,K22))*10,0)))</f>
        <v/>
      </c>
    </row>
    <row r="23">
      <c r="B23" s="27" t="n"/>
      <c r="C23" s="28" t="n"/>
      <c r="D23" s="15" t="n"/>
      <c r="E23" s="24" t="n"/>
      <c r="G23" s="10">
        <f>IF('Setup'!E21="","",'Setup'!E21)</f>
        <v/>
      </c>
      <c r="H23" s="20">
        <f>IF(G23="","",'Setup'!G21)</f>
        <v/>
      </c>
      <c r="I23" s="20">
        <f>IF(G23="","",SUMIFS($E$7:$E$86,$D$7:$D$86,G23))</f>
        <v/>
      </c>
      <c r="J23" s="20">
        <f>IF(G23="","",H23-I23)</f>
        <v/>
      </c>
      <c r="K23" s="30">
        <f>IF(OR(G23="",H23=0),"",I23/H23)</f>
        <v/>
      </c>
      <c r="L23" s="31">
        <f>IF(K23="","",REPT("█",ROUND(MIN(1,MAX(0,K23))*10,0))&amp;REPT("░",10-ROUND(MIN(1,MAX(0,K23))*10,0)))</f>
        <v/>
      </c>
    </row>
    <row r="24">
      <c r="B24" s="27" t="n"/>
      <c r="C24" s="28" t="n"/>
      <c r="D24" s="15" t="n"/>
      <c r="E24" s="24" t="n"/>
      <c r="G24" s="10">
        <f>IF('Setup'!E22="","",'Setup'!E22)</f>
        <v/>
      </c>
      <c r="H24" s="20">
        <f>IF(G24="","",'Setup'!G22)</f>
        <v/>
      </c>
      <c r="I24" s="20">
        <f>IF(G24="","",SUMIFS($E$7:$E$86,$D$7:$D$86,G24))</f>
        <v/>
      </c>
      <c r="J24" s="20">
        <f>IF(G24="","",H24-I24)</f>
        <v/>
      </c>
      <c r="K24" s="30">
        <f>IF(OR(G24="",H24=0),"",I24/H24)</f>
        <v/>
      </c>
      <c r="L24" s="31">
        <f>IF(K24="","",REPT("█",ROUND(MIN(1,MAX(0,K24))*10,0))&amp;REPT("░",10-ROUND(MIN(1,MAX(0,K24))*10,0)))</f>
        <v/>
      </c>
    </row>
    <row r="25">
      <c r="B25" s="27" t="n"/>
      <c r="C25" s="28" t="n"/>
      <c r="D25" s="15" t="n"/>
      <c r="E25" s="24" t="n"/>
      <c r="G25" s="10">
        <f>IF('Setup'!E23="","",'Setup'!E23)</f>
        <v/>
      </c>
      <c r="H25" s="20">
        <f>IF(G25="","",'Setup'!G23)</f>
        <v/>
      </c>
      <c r="I25" s="20">
        <f>IF(G25="","",SUMIFS($E$7:$E$86,$D$7:$D$86,G25))</f>
        <v/>
      </c>
      <c r="J25" s="20">
        <f>IF(G25="","",H25-I25)</f>
        <v/>
      </c>
      <c r="K25" s="30">
        <f>IF(OR(G25="",H25=0),"",I25/H25)</f>
        <v/>
      </c>
      <c r="L25" s="31">
        <f>IF(K25="","",REPT("█",ROUND(MIN(1,MAX(0,K25))*10,0))&amp;REPT("░",10-ROUND(MIN(1,MAX(0,K25))*10,0)))</f>
        <v/>
      </c>
    </row>
    <row r="26">
      <c r="B26" s="27" t="n"/>
      <c r="C26" s="28" t="n"/>
      <c r="D26" s="15" t="n"/>
      <c r="E26" s="24" t="n"/>
      <c r="G26" s="10">
        <f>IF('Setup'!E24="","",'Setup'!E24)</f>
        <v/>
      </c>
      <c r="H26" s="20">
        <f>IF(G26="","",'Setup'!G24)</f>
        <v/>
      </c>
      <c r="I26" s="20">
        <f>IF(G26="","",SUMIFS($E$7:$E$86,$D$7:$D$86,G26))</f>
        <v/>
      </c>
      <c r="J26" s="20">
        <f>IF(G26="","",H26-I26)</f>
        <v/>
      </c>
      <c r="K26" s="30">
        <f>IF(OR(G26="",H26=0),"",I26/H26)</f>
        <v/>
      </c>
      <c r="L26" s="31">
        <f>IF(K26="","",REPT("█",ROUND(MIN(1,MAX(0,K26))*10,0))&amp;REPT("░",10-ROUND(MIN(1,MAX(0,K26))*10,0)))</f>
        <v/>
      </c>
    </row>
    <row r="27">
      <c r="B27" s="27" t="n"/>
      <c r="C27" s="28" t="n"/>
      <c r="D27" s="15" t="n"/>
      <c r="E27" s="24" t="n"/>
      <c r="G27" s="10">
        <f>IF('Setup'!E25="","",'Setup'!E25)</f>
        <v/>
      </c>
      <c r="H27" s="20">
        <f>IF(G27="","",'Setup'!G25)</f>
        <v/>
      </c>
      <c r="I27" s="20">
        <f>IF(G27="","",SUMIFS($E$7:$E$86,$D$7:$D$86,G27))</f>
        <v/>
      </c>
      <c r="J27" s="20">
        <f>IF(G27="","",H27-I27)</f>
        <v/>
      </c>
      <c r="K27" s="30">
        <f>IF(OR(G27="",H27=0),"",I27/H27)</f>
        <v/>
      </c>
      <c r="L27" s="31">
        <f>IF(K27="","",REPT("█",ROUND(MIN(1,MAX(0,K27))*10,0))&amp;REPT("░",10-ROUND(MIN(1,MAX(0,K27))*10,0)))</f>
        <v/>
      </c>
    </row>
    <row r="28">
      <c r="B28" s="27" t="n"/>
      <c r="C28" s="28" t="n"/>
      <c r="D28" s="15" t="n"/>
      <c r="E28" s="24" t="n"/>
      <c r="G28" s="10">
        <f>IF('Setup'!E26="","",'Setup'!E26)</f>
        <v/>
      </c>
      <c r="H28" s="20">
        <f>IF(G28="","",'Setup'!G26)</f>
        <v/>
      </c>
      <c r="I28" s="20">
        <f>IF(G28="","",SUMIFS($E$7:$E$86,$D$7:$D$86,G28))</f>
        <v/>
      </c>
      <c r="J28" s="20">
        <f>IF(G28="","",H28-I28)</f>
        <v/>
      </c>
      <c r="K28" s="30">
        <f>IF(OR(G28="",H28=0),"",I28/H28)</f>
        <v/>
      </c>
      <c r="L28" s="31">
        <f>IF(K28="","",REPT("█",ROUND(MIN(1,MAX(0,K28))*10,0))&amp;REPT("░",10-ROUND(MIN(1,MAX(0,K28))*10,0)))</f>
        <v/>
      </c>
    </row>
    <row r="29">
      <c r="B29" s="27" t="n"/>
      <c r="C29" s="28" t="n"/>
      <c r="D29" s="15" t="n"/>
      <c r="E29" s="24" t="n"/>
      <c r="G29" s="10">
        <f>IF('Setup'!E27="","",'Setup'!E27)</f>
        <v/>
      </c>
      <c r="H29" s="20">
        <f>IF(G29="","",'Setup'!G27)</f>
        <v/>
      </c>
      <c r="I29" s="20">
        <f>IF(G29="","",SUMIFS($E$7:$E$86,$D$7:$D$86,G29))</f>
        <v/>
      </c>
      <c r="J29" s="20">
        <f>IF(G29="","",H29-I29)</f>
        <v/>
      </c>
      <c r="K29" s="30">
        <f>IF(OR(G29="",H29=0),"",I29/H29)</f>
        <v/>
      </c>
      <c r="L29" s="31">
        <f>IF(K29="","",REPT("█",ROUND(MIN(1,MAX(0,K29))*10,0))&amp;REPT("░",10-ROUND(MIN(1,MAX(0,K29))*10,0)))</f>
        <v/>
      </c>
    </row>
    <row r="30">
      <c r="B30" s="27" t="n"/>
      <c r="C30" s="28" t="n"/>
      <c r="D30" s="15" t="n"/>
      <c r="E30" s="24" t="n"/>
      <c r="G30" s="10">
        <f>IF('Setup'!E28="","",'Setup'!E28)</f>
        <v/>
      </c>
      <c r="H30" s="20">
        <f>IF(G30="","",'Setup'!G28)</f>
        <v/>
      </c>
      <c r="I30" s="20">
        <f>IF(G30="","",SUMIFS($E$7:$E$86,$D$7:$D$86,G30))</f>
        <v/>
      </c>
      <c r="J30" s="20">
        <f>IF(G30="","",H30-I30)</f>
        <v/>
      </c>
      <c r="K30" s="30">
        <f>IF(OR(G30="",H30=0),"",I30/H30)</f>
        <v/>
      </c>
      <c r="L30" s="31">
        <f>IF(K30="","",REPT("█",ROUND(MIN(1,MAX(0,K30))*10,0))&amp;REPT("░",10-ROUND(MIN(1,MAX(0,K30))*10,0)))</f>
        <v/>
      </c>
    </row>
    <row r="31">
      <c r="B31" s="27" t="n"/>
      <c r="C31" s="28" t="n"/>
      <c r="D31" s="15" t="n"/>
      <c r="E31" s="24" t="n"/>
      <c r="G31" s="10">
        <f>IF('Setup'!E29="","",'Setup'!E29)</f>
        <v/>
      </c>
      <c r="H31" s="20">
        <f>IF(G31="","",'Setup'!G29)</f>
        <v/>
      </c>
      <c r="I31" s="20">
        <f>IF(G31="","",SUMIFS($E$7:$E$86,$D$7:$D$86,G31))</f>
        <v/>
      </c>
      <c r="J31" s="20">
        <f>IF(G31="","",H31-I31)</f>
        <v/>
      </c>
      <c r="K31" s="30">
        <f>IF(OR(G31="",H31=0),"",I31/H31)</f>
        <v/>
      </c>
      <c r="L31" s="31">
        <f>IF(K31="","",REPT("█",ROUND(MIN(1,MAX(0,K31))*10,0))&amp;REPT("░",10-ROUND(MIN(1,MAX(0,K31))*10,0)))</f>
        <v/>
      </c>
    </row>
    <row r="32">
      <c r="B32" s="27" t="n"/>
      <c r="C32" s="28" t="n"/>
      <c r="D32" s="15" t="n"/>
      <c r="E32" s="24" t="n"/>
      <c r="G32" s="10">
        <f>IF('Setup'!E30="","",'Setup'!E30)</f>
        <v/>
      </c>
      <c r="H32" s="20">
        <f>IF(G32="","",'Setup'!G30)</f>
        <v/>
      </c>
      <c r="I32" s="20">
        <f>IF(G32="","",SUMIFS($E$7:$E$86,$D$7:$D$86,G32))</f>
        <v/>
      </c>
      <c r="J32" s="20">
        <f>IF(G32="","",H32-I32)</f>
        <v/>
      </c>
      <c r="K32" s="30">
        <f>IF(OR(G32="",H32=0),"",I32/H32)</f>
        <v/>
      </c>
      <c r="L32" s="31">
        <f>IF(K32="","",REPT("█",ROUND(MIN(1,MAX(0,K32))*10,0))&amp;REPT("░",10-ROUND(MIN(1,MAX(0,K32))*10,0)))</f>
        <v/>
      </c>
    </row>
    <row r="33">
      <c r="B33" s="27" t="n"/>
      <c r="C33" s="28" t="n"/>
      <c r="D33" s="15" t="n"/>
      <c r="E33" s="24" t="n"/>
      <c r="G33" s="10">
        <f>IF('Setup'!E31="","",'Setup'!E31)</f>
        <v/>
      </c>
      <c r="H33" s="20">
        <f>IF(G33="","",'Setup'!G31)</f>
        <v/>
      </c>
      <c r="I33" s="20">
        <f>IF(G33="","",SUMIFS($E$7:$E$86,$D$7:$D$86,G33))</f>
        <v/>
      </c>
      <c r="J33" s="20">
        <f>IF(G33="","",H33-I33)</f>
        <v/>
      </c>
      <c r="K33" s="30">
        <f>IF(OR(G33="",H33=0),"",I33/H33)</f>
        <v/>
      </c>
      <c r="L33" s="31">
        <f>IF(K33="","",REPT("█",ROUND(MIN(1,MAX(0,K33))*10,0))&amp;REPT("░",10-ROUND(MIN(1,MAX(0,K33))*10,0)))</f>
        <v/>
      </c>
    </row>
    <row r="34">
      <c r="B34" s="27" t="n"/>
      <c r="C34" s="28" t="n"/>
      <c r="D34" s="15" t="n"/>
      <c r="E34" s="24" t="n"/>
      <c r="G34" s="10">
        <f>IF('Setup'!E32="","",'Setup'!E32)</f>
        <v/>
      </c>
      <c r="H34" s="20">
        <f>IF(G34="","",'Setup'!G32)</f>
        <v/>
      </c>
      <c r="I34" s="20">
        <f>IF(G34="","",SUMIFS($E$7:$E$86,$D$7:$D$86,G34))</f>
        <v/>
      </c>
      <c r="J34" s="20">
        <f>IF(G34="","",H34-I34)</f>
        <v/>
      </c>
      <c r="K34" s="30">
        <f>IF(OR(G34="",H34=0),"",I34/H34)</f>
        <v/>
      </c>
      <c r="L34" s="31">
        <f>IF(K34="","",REPT("█",ROUND(MIN(1,MAX(0,K34))*10,0))&amp;REPT("░",10-ROUND(MIN(1,MAX(0,K34))*10,0)))</f>
        <v/>
      </c>
    </row>
    <row r="35">
      <c r="B35" s="27" t="n"/>
      <c r="C35" s="28" t="n"/>
      <c r="D35" s="15" t="n"/>
      <c r="E35" s="24" t="n"/>
      <c r="G35" s="10">
        <f>IF('Setup'!E33="","",'Setup'!E33)</f>
        <v/>
      </c>
      <c r="H35" s="20">
        <f>IF(G35="","",'Setup'!G33)</f>
        <v/>
      </c>
      <c r="I35" s="20">
        <f>IF(G35="","",SUMIFS($E$7:$E$86,$D$7:$D$86,G35))</f>
        <v/>
      </c>
      <c r="J35" s="20">
        <f>IF(G35="","",H35-I35)</f>
        <v/>
      </c>
      <c r="K35" s="30">
        <f>IF(OR(G35="",H35=0),"",I35/H35)</f>
        <v/>
      </c>
      <c r="L35" s="31">
        <f>IF(K35="","",REPT("█",ROUND(MIN(1,MAX(0,K35))*10,0))&amp;REPT("░",10-ROUND(MIN(1,MAX(0,K35))*10,0)))</f>
        <v/>
      </c>
    </row>
    <row r="36">
      <c r="B36" s="27" t="n"/>
      <c r="C36" s="28" t="n"/>
      <c r="D36" s="15" t="n"/>
      <c r="E36" s="24" t="n"/>
      <c r="G36" s="10">
        <f>IF('Setup'!E34="","",'Setup'!E34)</f>
        <v/>
      </c>
      <c r="H36" s="20">
        <f>IF(G36="","",'Setup'!G34)</f>
        <v/>
      </c>
      <c r="I36" s="20">
        <f>IF(G36="","",SUMIFS($E$7:$E$86,$D$7:$D$86,G36))</f>
        <v/>
      </c>
      <c r="J36" s="20">
        <f>IF(G36="","",H36-I36)</f>
        <v/>
      </c>
      <c r="K36" s="30">
        <f>IF(OR(G36="",H36=0),"",I36/H36)</f>
        <v/>
      </c>
      <c r="L36" s="31">
        <f>IF(K36="","",REPT("█",ROUND(MIN(1,MAX(0,K36))*10,0))&amp;REPT("░",10-ROUND(MIN(1,MAX(0,K36))*10,0)))</f>
        <v/>
      </c>
    </row>
    <row r="37">
      <c r="B37" s="27" t="n"/>
      <c r="C37" s="28" t="n"/>
      <c r="D37" s="15" t="n"/>
      <c r="E37" s="24" t="n"/>
      <c r="G37" s="10">
        <f>IF('Setup'!E35="","",'Setup'!E35)</f>
        <v/>
      </c>
      <c r="H37" s="20">
        <f>IF(G37="","",'Setup'!G35)</f>
        <v/>
      </c>
      <c r="I37" s="20">
        <f>IF(G37="","",SUMIFS($E$7:$E$86,$D$7:$D$86,G37))</f>
        <v/>
      </c>
      <c r="J37" s="20">
        <f>IF(G37="","",H37-I37)</f>
        <v/>
      </c>
      <c r="K37" s="30">
        <f>IF(OR(G37="",H37=0),"",I37/H37)</f>
        <v/>
      </c>
      <c r="L37" s="31">
        <f>IF(K37="","",REPT("█",ROUND(MIN(1,MAX(0,K37))*10,0))&amp;REPT("░",10-ROUND(MIN(1,MAX(0,K37))*10,0)))</f>
        <v/>
      </c>
    </row>
    <row r="38">
      <c r="B38" s="27" t="n"/>
      <c r="C38" s="28" t="n"/>
      <c r="D38" s="15" t="n"/>
      <c r="E38" s="24" t="n"/>
      <c r="G38" s="10">
        <f>IF('Setup'!E36="","",'Setup'!E36)</f>
        <v/>
      </c>
      <c r="H38" s="20">
        <f>IF(G38="","",'Setup'!G36)</f>
        <v/>
      </c>
      <c r="I38" s="20">
        <f>IF(G38="","",SUMIFS($E$7:$E$86,$D$7:$D$86,G38))</f>
        <v/>
      </c>
      <c r="J38" s="20">
        <f>IF(G38="","",H38-I38)</f>
        <v/>
      </c>
      <c r="K38" s="30">
        <f>IF(OR(G38="",H38=0),"",I38/H38)</f>
        <v/>
      </c>
      <c r="L38" s="31">
        <f>IF(K38="","",REPT("█",ROUND(MIN(1,MAX(0,K38))*10,0))&amp;REPT("░",10-ROUND(MIN(1,MAX(0,K38))*10,0)))</f>
        <v/>
      </c>
    </row>
    <row r="39">
      <c r="B39" s="27" t="n"/>
      <c r="C39" s="28" t="n"/>
      <c r="D39" s="15" t="n"/>
      <c r="E39" s="24" t="n"/>
      <c r="G39" s="10">
        <f>IF('Setup'!E37="","",'Setup'!E37)</f>
        <v/>
      </c>
      <c r="H39" s="20">
        <f>IF(G39="","",'Setup'!G37)</f>
        <v/>
      </c>
      <c r="I39" s="20">
        <f>IF(G39="","",SUMIFS($E$7:$E$86,$D$7:$D$86,G39))</f>
        <v/>
      </c>
      <c r="J39" s="20">
        <f>IF(G39="","",H39-I39)</f>
        <v/>
      </c>
      <c r="K39" s="30">
        <f>IF(OR(G39="",H39=0),"",I39/H39)</f>
        <v/>
      </c>
      <c r="L39" s="31">
        <f>IF(K39="","",REPT("█",ROUND(MIN(1,MAX(0,K39))*10,0))&amp;REPT("░",10-ROUND(MIN(1,MAX(0,K39))*10,0)))</f>
        <v/>
      </c>
    </row>
    <row r="40">
      <c r="B40" s="27" t="n"/>
      <c r="C40" s="28" t="n"/>
      <c r="D40" s="15" t="n"/>
      <c r="E40" s="24" t="n"/>
      <c r="G40" s="10">
        <f>IF('Setup'!E38="","",'Setup'!E38)</f>
        <v/>
      </c>
      <c r="H40" s="20">
        <f>IF(G40="","",'Setup'!G38)</f>
        <v/>
      </c>
      <c r="I40" s="20">
        <f>IF(G40="","",SUMIFS($E$7:$E$86,$D$7:$D$86,G40))</f>
        <v/>
      </c>
      <c r="J40" s="20">
        <f>IF(G40="","",H40-I40)</f>
        <v/>
      </c>
      <c r="K40" s="30">
        <f>IF(OR(G40="",H40=0),"",I40/H40)</f>
        <v/>
      </c>
      <c r="L40" s="31">
        <f>IF(K40="","",REPT("█",ROUND(MIN(1,MAX(0,K40))*10,0))&amp;REPT("░",10-ROUND(MIN(1,MAX(0,K40))*10,0)))</f>
        <v/>
      </c>
    </row>
    <row r="41">
      <c r="B41" s="27" t="n"/>
      <c r="C41" s="28" t="n"/>
      <c r="D41" s="15" t="n"/>
      <c r="E41" s="24" t="n"/>
      <c r="G41" s="10">
        <f>IF('Setup'!E39="","",'Setup'!E39)</f>
        <v/>
      </c>
      <c r="H41" s="20">
        <f>IF(G41="","",'Setup'!G39)</f>
        <v/>
      </c>
      <c r="I41" s="20">
        <f>IF(G41="","",SUMIFS($E$7:$E$86,$D$7:$D$86,G41))</f>
        <v/>
      </c>
      <c r="J41" s="20">
        <f>IF(G41="","",H41-I41)</f>
        <v/>
      </c>
      <c r="K41" s="30">
        <f>IF(OR(G41="",H41=0),"",I41/H41)</f>
        <v/>
      </c>
      <c r="L41" s="31">
        <f>IF(K41="","",REPT("█",ROUND(MIN(1,MAX(0,K41))*10,0))&amp;REPT("░",10-ROUND(MIN(1,MAX(0,K41))*10,0)))</f>
        <v/>
      </c>
    </row>
    <row r="42">
      <c r="B42" s="27" t="n"/>
      <c r="C42" s="28" t="n"/>
      <c r="D42" s="15" t="n"/>
      <c r="E42" s="24" t="n"/>
    </row>
    <row r="43">
      <c r="B43" s="27" t="n"/>
      <c r="C43" s="28" t="n"/>
      <c r="D43" s="15" t="n"/>
      <c r="E43" s="24" t="n"/>
    </row>
    <row r="44">
      <c r="B44" s="27" t="n"/>
      <c r="C44" s="28" t="n"/>
      <c r="D44" s="15" t="n"/>
      <c r="E44" s="24" t="n"/>
    </row>
    <row r="45">
      <c r="B45" s="27" t="n"/>
      <c r="C45" s="28" t="n"/>
      <c r="D45" s="15" t="n"/>
      <c r="E45" s="24" t="n"/>
    </row>
    <row r="46">
      <c r="B46" s="27" t="n"/>
      <c r="C46" s="28" t="n"/>
      <c r="D46" s="15" t="n"/>
      <c r="E46" s="24" t="n"/>
    </row>
    <row r="47">
      <c r="B47" s="27" t="n"/>
      <c r="C47" s="28" t="n"/>
      <c r="D47" s="15" t="n"/>
      <c r="E47" s="24" t="n"/>
    </row>
    <row r="48">
      <c r="B48" s="27" t="n"/>
      <c r="C48" s="28" t="n"/>
      <c r="D48" s="15" t="n"/>
      <c r="E48" s="24" t="n"/>
    </row>
    <row r="49">
      <c r="B49" s="27" t="n"/>
      <c r="C49" s="28" t="n"/>
      <c r="D49" s="15" t="n"/>
      <c r="E49" s="24" t="n"/>
    </row>
    <row r="50">
      <c r="B50" s="27" t="n"/>
      <c r="C50" s="28" t="n"/>
      <c r="D50" s="15" t="n"/>
      <c r="E50" s="24" t="n"/>
    </row>
    <row r="51">
      <c r="B51" s="27" t="n"/>
      <c r="C51" s="28" t="n"/>
      <c r="D51" s="15" t="n"/>
      <c r="E51" s="24" t="n"/>
    </row>
    <row r="52">
      <c r="B52" s="27" t="n"/>
      <c r="C52" s="28" t="n"/>
      <c r="D52" s="15" t="n"/>
      <c r="E52" s="24" t="n"/>
    </row>
    <row r="53">
      <c r="B53" s="27" t="n"/>
      <c r="C53" s="28" t="n"/>
      <c r="D53" s="15" t="n"/>
      <c r="E53" s="24" t="n"/>
    </row>
    <row r="54">
      <c r="B54" s="27" t="n"/>
      <c r="C54" s="28" t="n"/>
      <c r="D54" s="15" t="n"/>
      <c r="E54" s="24" t="n"/>
    </row>
    <row r="55">
      <c r="B55" s="27" t="n"/>
      <c r="C55" s="28" t="n"/>
      <c r="D55" s="15" t="n"/>
      <c r="E55" s="24" t="n"/>
    </row>
    <row r="56">
      <c r="B56" s="27" t="n"/>
      <c r="C56" s="28" t="n"/>
      <c r="D56" s="15" t="n"/>
      <c r="E56" s="24" t="n"/>
    </row>
    <row r="57">
      <c r="B57" s="27" t="n"/>
      <c r="C57" s="28" t="n"/>
      <c r="D57" s="15" t="n"/>
      <c r="E57" s="24" t="n"/>
    </row>
    <row r="58">
      <c r="B58" s="27" t="n"/>
      <c r="C58" s="28" t="n"/>
      <c r="D58" s="15" t="n"/>
      <c r="E58" s="24" t="n"/>
    </row>
    <row r="59">
      <c r="B59" s="27" t="n"/>
      <c r="C59" s="28" t="n"/>
      <c r="D59" s="15" t="n"/>
      <c r="E59" s="24" t="n"/>
    </row>
    <row r="60">
      <c r="B60" s="27" t="n"/>
      <c r="C60" s="28" t="n"/>
      <c r="D60" s="15" t="n"/>
      <c r="E60" s="24" t="n"/>
    </row>
    <row r="61">
      <c r="B61" s="27" t="n"/>
      <c r="C61" s="28" t="n"/>
      <c r="D61" s="15" t="n"/>
      <c r="E61" s="24" t="n"/>
    </row>
    <row r="62">
      <c r="B62" s="27" t="n"/>
      <c r="C62" s="28" t="n"/>
      <c r="D62" s="15" t="n"/>
      <c r="E62" s="24" t="n"/>
    </row>
    <row r="63">
      <c r="B63" s="27" t="n"/>
      <c r="C63" s="28" t="n"/>
      <c r="D63" s="15" t="n"/>
      <c r="E63" s="24" t="n"/>
    </row>
    <row r="64">
      <c r="B64" s="27" t="n"/>
      <c r="C64" s="28" t="n"/>
      <c r="D64" s="15" t="n"/>
      <c r="E64" s="24" t="n"/>
    </row>
    <row r="65">
      <c r="B65" s="27" t="n"/>
      <c r="C65" s="28" t="n"/>
      <c r="D65" s="15" t="n"/>
      <c r="E65" s="24" t="n"/>
    </row>
    <row r="66">
      <c r="B66" s="27" t="n"/>
      <c r="C66" s="28" t="n"/>
      <c r="D66" s="15" t="n"/>
      <c r="E66" s="24" t="n"/>
    </row>
    <row r="67">
      <c r="B67" s="27" t="n"/>
      <c r="C67" s="28" t="n"/>
      <c r="D67" s="15" t="n"/>
      <c r="E67" s="24" t="n"/>
    </row>
    <row r="68">
      <c r="B68" s="27" t="n"/>
      <c r="C68" s="28" t="n"/>
      <c r="D68" s="15" t="n"/>
      <c r="E68" s="24" t="n"/>
    </row>
    <row r="69">
      <c r="B69" s="27" t="n"/>
      <c r="C69" s="28" t="n"/>
      <c r="D69" s="15" t="n"/>
      <c r="E69" s="24" t="n"/>
    </row>
    <row r="70">
      <c r="B70" s="27" t="n"/>
      <c r="C70" s="28" t="n"/>
      <c r="D70" s="15" t="n"/>
      <c r="E70" s="24" t="n"/>
    </row>
    <row r="71">
      <c r="B71" s="27" t="n"/>
      <c r="C71" s="28" t="n"/>
      <c r="D71" s="15" t="n"/>
      <c r="E71" s="24" t="n"/>
    </row>
    <row r="72">
      <c r="B72" s="27" t="n"/>
      <c r="C72" s="28" t="n"/>
      <c r="D72" s="15" t="n"/>
      <c r="E72" s="24" t="n"/>
    </row>
    <row r="73">
      <c r="B73" s="27" t="n"/>
      <c r="C73" s="28" t="n"/>
      <c r="D73" s="15" t="n"/>
      <c r="E73" s="24" t="n"/>
    </row>
    <row r="74">
      <c r="B74" s="27" t="n"/>
      <c r="C74" s="28" t="n"/>
      <c r="D74" s="15" t="n"/>
      <c r="E74" s="24" t="n"/>
    </row>
    <row r="75">
      <c r="B75" s="27" t="n"/>
      <c r="C75" s="28" t="n"/>
      <c r="D75" s="15" t="n"/>
      <c r="E75" s="24" t="n"/>
    </row>
    <row r="76">
      <c r="B76" s="27" t="n"/>
      <c r="C76" s="28" t="n"/>
      <c r="D76" s="15" t="n"/>
      <c r="E76" s="24" t="n"/>
    </row>
    <row r="77">
      <c r="B77" s="27" t="n"/>
      <c r="C77" s="28" t="n"/>
      <c r="D77" s="15" t="n"/>
      <c r="E77" s="24" t="n"/>
    </row>
    <row r="78">
      <c r="B78" s="27" t="n"/>
      <c r="C78" s="28" t="n"/>
      <c r="D78" s="15" t="n"/>
      <c r="E78" s="24" t="n"/>
    </row>
    <row r="79">
      <c r="B79" s="27" t="n"/>
      <c r="C79" s="28" t="n"/>
      <c r="D79" s="15" t="n"/>
      <c r="E79" s="24" t="n"/>
    </row>
    <row r="80">
      <c r="B80" s="27" t="n"/>
      <c r="C80" s="28" t="n"/>
      <c r="D80" s="15" t="n"/>
      <c r="E80" s="24" t="n"/>
    </row>
    <row r="81">
      <c r="B81" s="27" t="n"/>
      <c r="C81" s="28" t="n"/>
      <c r="D81" s="15" t="n"/>
      <c r="E81" s="24" t="n"/>
    </row>
    <row r="82">
      <c r="B82" s="27" t="n"/>
      <c r="C82" s="28" t="n"/>
      <c r="D82" s="15" t="n"/>
      <c r="E82" s="24" t="n"/>
    </row>
    <row r="83">
      <c r="B83" s="27" t="n"/>
      <c r="C83" s="28" t="n"/>
      <c r="D83" s="15" t="n"/>
      <c r="E83" s="24" t="n"/>
    </row>
    <row r="84">
      <c r="B84" s="27" t="n"/>
      <c r="C84" s="28" t="n"/>
      <c r="D84" s="15" t="n"/>
      <c r="E84" s="24" t="n"/>
    </row>
    <row r="85">
      <c r="B85" s="27" t="n"/>
      <c r="C85" s="28" t="n"/>
      <c r="D85" s="15" t="n"/>
      <c r="E85" s="24" t="n"/>
    </row>
    <row r="86">
      <c r="B86" s="27" t="n"/>
      <c r="C86" s="28" t="n"/>
      <c r="D86" s="15" t="n"/>
      <c r="E86" s="24" t="n"/>
    </row>
  </sheetData>
  <sheetProtection selectLockedCells="0" selectUnlockedCells="0" sheet="1" objects="0" insertRows="0" insertHyperlinks="1" autoFilter="0" scenarios="0" formatColumns="0" deleteColumns="1" insertColumns="1" pivotTables="1" deleteRows="1" formatCells="1" formatRows="0" sort="0"/>
  <conditionalFormatting sqref="H8">
    <cfRule type="cellIs" priority="1" operator="lessThan" dxfId="1">
      <formula>0</formula>
    </cfRule>
  </conditionalFormatting>
  <conditionalFormatting sqref="J12:J41">
    <cfRule type="cellIs" priority="2" operator="lessThan" dxfId="1">
      <formula>0</formula>
    </cfRule>
  </conditionalFormatting>
  <conditionalFormatting sqref="L12:L41">
    <cfRule type="expression" priority="3" dxfId="2">
      <formula>K12&gt;1</formula>
    </cfRule>
  </conditionalFormatting>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showDropDown="0" showInputMessage="0" showErrorMessage="0" allowBlank="1" type="list">
      <formula1>=Categories</formula1>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gridLines="0"/>
  <pageMargins left="0.75" right="0.75" top="1" bottom="1" header="0.5" footer="0.5"/>
  <pageSetup orientation="landscape" fitToHeight="1" fitToWidth="1"/>
</worksheet>
</file>

<file path=xl/worksheets/sheet8.xml><?xml version="1.0" encoding="utf-8"?>
<worksheet xmlns="http://schemas.openxmlformats.org/spreadsheetml/2006/main">
  <sheetPr>
    <tabColor rgb="002F6F5E"/>
    <outlinePr summaryBelow="1" summaryRight="1"/>
    <pageSetUpPr fitToPage="1"/>
  </sheetPr>
  <dimension ref="B2:L86"/>
  <sheetViews>
    <sheetView showGridLines="0" workbookViewId="0">
      <pane ySplit="6" topLeftCell="A7" activePane="bottomLeft" state="frozen"/>
      <selection pane="bottomLeft" activeCell="A1" sqref="A1"/>
    </sheetView>
  </sheetViews>
  <sheetFormatPr baseColWidth="8" defaultRowHeight="15"/>
  <cols>
    <col width="3" customWidth="1" min="1" max="1"/>
    <col width="12" customWidth="1" min="2" max="2"/>
    <col width="26" customWidth="1" min="3" max="3"/>
    <col width="22" customWidth="1" min="4" max="4"/>
    <col width="14" customWidth="1" min="5" max="5"/>
    <col width="14" customWidth="1" min="6" max="6"/>
    <col width="22" customWidth="1" min="7" max="7"/>
    <col width="13" customWidth="1" min="8" max="8"/>
    <col width="13" customWidth="1" min="9" max="9"/>
    <col width="13" customWidth="1" min="10" max="10"/>
    <col width="9"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May</t>
        </is>
      </c>
    </row>
    <row r="3">
      <c r="B3" s="2" t="inlineStr">
        <is>
          <t>Log what you spend. The summary on the right updates itself.</t>
        </is>
      </c>
    </row>
    <row r="4">
      <c r="B4" s="3" t="inlineStr">
        <is>
          <t>Start here</t>
        </is>
      </c>
      <c r="D4" s="3" t="inlineStr">
        <is>
          <t>Dashboard</t>
        </is>
      </c>
      <c r="E4" s="3" t="inlineStr">
        <is>
          <t>Setup</t>
        </is>
      </c>
      <c r="F4" s="3" t="inlineStr">
        <is>
          <t>Months</t>
        </is>
      </c>
      <c r="G4" s="3" t="inlineStr">
        <is>
          <t>Bills</t>
        </is>
      </c>
      <c r="H4" s="3" t="inlineStr">
        <is>
          <t>Paycheck</t>
        </is>
      </c>
      <c r="I4" s="3" t="inlineStr">
        <is>
          <t>Debt</t>
        </is>
      </c>
      <c r="J4" s="3" t="inlineStr">
        <is>
          <t>Savings</t>
        </is>
      </c>
    </row>
    <row r="6" ht="22" customHeight="1">
      <c r="B6" s="9" t="inlineStr">
        <is>
          <t>Date</t>
        </is>
      </c>
      <c r="C6" s="9" t="inlineStr">
        <is>
          <t>What</t>
        </is>
      </c>
      <c r="D6" s="9" t="inlineStr">
        <is>
          <t>Category</t>
        </is>
      </c>
      <c r="E6" s="9" t="inlineStr">
        <is>
          <t>Amount</t>
        </is>
      </c>
      <c r="G6" s="17" t="inlineStr">
        <is>
          <t>Income this month</t>
        </is>
      </c>
      <c r="H6" s="25">
        <f>'Setup'!$C$18</f>
        <v/>
      </c>
      <c r="I6" s="26" t="inlineStr">
        <is>
          <t>Type over this if your income was different</t>
        </is>
      </c>
    </row>
    <row r="7">
      <c r="B7" s="27" t="n"/>
      <c r="C7" s="28" t="n"/>
      <c r="D7" s="15" t="n"/>
      <c r="E7" s="24" t="n"/>
      <c r="G7" s="17" t="inlineStr">
        <is>
          <t>Spent</t>
        </is>
      </c>
      <c r="H7" s="29">
        <f>SUM(E7:E86)</f>
        <v/>
      </c>
    </row>
    <row r="8">
      <c r="B8" s="27" t="n"/>
      <c r="C8" s="28" t="n"/>
      <c r="D8" s="15" t="n"/>
      <c r="E8" s="24" t="n"/>
      <c r="G8" s="17" t="inlineStr">
        <is>
          <t>Left over</t>
        </is>
      </c>
      <c r="H8" s="29">
        <f>H6-H7</f>
        <v/>
      </c>
    </row>
    <row r="9">
      <c r="B9" s="27" t="n"/>
      <c r="C9" s="28" t="n"/>
      <c r="D9" s="15" t="n"/>
      <c r="E9" s="24" t="n"/>
      <c r="G9" s="17" t="inlineStr">
        <is>
          <t>Saved and debt paid</t>
        </is>
      </c>
      <c r="H9" s="29">
        <f>SUMPRODUCT(SUMIFS($E$7:$E$86,$D$7:$D$86,'Setup'!$E$10:$E$39)*(('Setup'!$F$10:$F$39="Savings")+('Setup'!$F$10:$F$39="Debt")))</f>
        <v/>
      </c>
    </row>
    <row r="10">
      <c r="B10" s="27" t="n"/>
      <c r="C10" s="28" t="n"/>
      <c r="D10" s="15" t="n"/>
      <c r="E10" s="24" t="n"/>
    </row>
    <row r="11" ht="22" customHeight="1">
      <c r="B11" s="27" t="n"/>
      <c r="C11" s="28" t="n"/>
      <c r="D11" s="15" t="n"/>
      <c r="E11" s="24" t="n"/>
      <c r="G11" s="9" t="inlineStr">
        <is>
          <t>Category</t>
        </is>
      </c>
      <c r="H11" s="9" t="inlineStr">
        <is>
          <t>Budget</t>
        </is>
      </c>
      <c r="I11" s="9" t="inlineStr">
        <is>
          <t>Spent</t>
        </is>
      </c>
      <c r="J11" s="9" t="inlineStr">
        <is>
          <t>Left</t>
        </is>
      </c>
      <c r="K11" s="9" t="inlineStr">
        <is>
          <t>Used</t>
        </is>
      </c>
      <c r="L11" s="9" t="inlineStr"/>
    </row>
    <row r="12">
      <c r="B12" s="27" t="n"/>
      <c r="C12" s="28" t="n"/>
      <c r="D12" s="15" t="n"/>
      <c r="E12" s="24" t="n"/>
      <c r="G12" s="10">
        <f>IF('Setup'!E10="","",'Setup'!E10)</f>
        <v/>
      </c>
      <c r="H12" s="20">
        <f>IF(G12="","",'Setup'!G10)</f>
        <v/>
      </c>
      <c r="I12" s="20">
        <f>IF(G12="","",SUMIFS($E$7:$E$86,$D$7:$D$86,G12))</f>
        <v/>
      </c>
      <c r="J12" s="20">
        <f>IF(G12="","",H12-I12)</f>
        <v/>
      </c>
      <c r="K12" s="30">
        <f>IF(OR(G12="",H12=0),"",I12/H12)</f>
        <v/>
      </c>
      <c r="L12" s="31">
        <f>IF(K12="","",REPT("█",ROUND(MIN(1,MAX(0,K12))*10,0))&amp;REPT("░",10-ROUND(MIN(1,MAX(0,K12))*10,0)))</f>
        <v/>
      </c>
    </row>
    <row r="13">
      <c r="B13" s="27" t="n"/>
      <c r="C13" s="28" t="n"/>
      <c r="D13" s="15" t="n"/>
      <c r="E13" s="24" t="n"/>
      <c r="G13" s="10">
        <f>IF('Setup'!E11="","",'Setup'!E11)</f>
        <v/>
      </c>
      <c r="H13" s="20">
        <f>IF(G13="","",'Setup'!G11)</f>
        <v/>
      </c>
      <c r="I13" s="20">
        <f>IF(G13="","",SUMIFS($E$7:$E$86,$D$7:$D$86,G13))</f>
        <v/>
      </c>
      <c r="J13" s="20">
        <f>IF(G13="","",H13-I13)</f>
        <v/>
      </c>
      <c r="K13" s="30">
        <f>IF(OR(G13="",H13=0),"",I13/H13)</f>
        <v/>
      </c>
      <c r="L13" s="31">
        <f>IF(K13="","",REPT("█",ROUND(MIN(1,MAX(0,K13))*10,0))&amp;REPT("░",10-ROUND(MIN(1,MAX(0,K13))*10,0)))</f>
        <v/>
      </c>
    </row>
    <row r="14">
      <c r="B14" s="27" t="n"/>
      <c r="C14" s="28" t="n"/>
      <c r="D14" s="15" t="n"/>
      <c r="E14" s="24" t="n"/>
      <c r="G14" s="10">
        <f>IF('Setup'!E12="","",'Setup'!E12)</f>
        <v/>
      </c>
      <c r="H14" s="20">
        <f>IF(G14="","",'Setup'!G12)</f>
        <v/>
      </c>
      <c r="I14" s="20">
        <f>IF(G14="","",SUMIFS($E$7:$E$86,$D$7:$D$86,G14))</f>
        <v/>
      </c>
      <c r="J14" s="20">
        <f>IF(G14="","",H14-I14)</f>
        <v/>
      </c>
      <c r="K14" s="30">
        <f>IF(OR(G14="",H14=0),"",I14/H14)</f>
        <v/>
      </c>
      <c r="L14" s="31">
        <f>IF(K14="","",REPT("█",ROUND(MIN(1,MAX(0,K14))*10,0))&amp;REPT("░",10-ROUND(MIN(1,MAX(0,K14))*10,0)))</f>
        <v/>
      </c>
    </row>
    <row r="15">
      <c r="B15" s="27" t="n"/>
      <c r="C15" s="28" t="n"/>
      <c r="D15" s="15" t="n"/>
      <c r="E15" s="24" t="n"/>
      <c r="G15" s="10">
        <f>IF('Setup'!E13="","",'Setup'!E13)</f>
        <v/>
      </c>
      <c r="H15" s="20">
        <f>IF(G15="","",'Setup'!G13)</f>
        <v/>
      </c>
      <c r="I15" s="20">
        <f>IF(G15="","",SUMIFS($E$7:$E$86,$D$7:$D$86,G15))</f>
        <v/>
      </c>
      <c r="J15" s="20">
        <f>IF(G15="","",H15-I15)</f>
        <v/>
      </c>
      <c r="K15" s="30">
        <f>IF(OR(G15="",H15=0),"",I15/H15)</f>
        <v/>
      </c>
      <c r="L15" s="31">
        <f>IF(K15="","",REPT("█",ROUND(MIN(1,MAX(0,K15))*10,0))&amp;REPT("░",10-ROUND(MIN(1,MAX(0,K15))*10,0)))</f>
        <v/>
      </c>
    </row>
    <row r="16">
      <c r="B16" s="27" t="n"/>
      <c r="C16" s="28" t="n"/>
      <c r="D16" s="15" t="n"/>
      <c r="E16" s="24" t="n"/>
      <c r="G16" s="10">
        <f>IF('Setup'!E14="","",'Setup'!E14)</f>
        <v/>
      </c>
      <c r="H16" s="20">
        <f>IF(G16="","",'Setup'!G14)</f>
        <v/>
      </c>
      <c r="I16" s="20">
        <f>IF(G16="","",SUMIFS($E$7:$E$86,$D$7:$D$86,G16))</f>
        <v/>
      </c>
      <c r="J16" s="20">
        <f>IF(G16="","",H16-I16)</f>
        <v/>
      </c>
      <c r="K16" s="30">
        <f>IF(OR(G16="",H16=0),"",I16/H16)</f>
        <v/>
      </c>
      <c r="L16" s="31">
        <f>IF(K16="","",REPT("█",ROUND(MIN(1,MAX(0,K16))*10,0))&amp;REPT("░",10-ROUND(MIN(1,MAX(0,K16))*10,0)))</f>
        <v/>
      </c>
    </row>
    <row r="17">
      <c r="B17" s="27" t="n"/>
      <c r="C17" s="28" t="n"/>
      <c r="D17" s="15" t="n"/>
      <c r="E17" s="24" t="n"/>
      <c r="G17" s="10">
        <f>IF('Setup'!E15="","",'Setup'!E15)</f>
        <v/>
      </c>
      <c r="H17" s="20">
        <f>IF(G17="","",'Setup'!G15)</f>
        <v/>
      </c>
      <c r="I17" s="20">
        <f>IF(G17="","",SUMIFS($E$7:$E$86,$D$7:$D$86,G17))</f>
        <v/>
      </c>
      <c r="J17" s="20">
        <f>IF(G17="","",H17-I17)</f>
        <v/>
      </c>
      <c r="K17" s="30">
        <f>IF(OR(G17="",H17=0),"",I17/H17)</f>
        <v/>
      </c>
      <c r="L17" s="31">
        <f>IF(K17="","",REPT("█",ROUND(MIN(1,MAX(0,K17))*10,0))&amp;REPT("░",10-ROUND(MIN(1,MAX(0,K17))*10,0)))</f>
        <v/>
      </c>
    </row>
    <row r="18">
      <c r="B18" s="27" t="n"/>
      <c r="C18" s="28" t="n"/>
      <c r="D18" s="15" t="n"/>
      <c r="E18" s="24" t="n"/>
      <c r="G18" s="10">
        <f>IF('Setup'!E16="","",'Setup'!E16)</f>
        <v/>
      </c>
      <c r="H18" s="20">
        <f>IF(G18="","",'Setup'!G16)</f>
        <v/>
      </c>
      <c r="I18" s="20">
        <f>IF(G18="","",SUMIFS($E$7:$E$86,$D$7:$D$86,G18))</f>
        <v/>
      </c>
      <c r="J18" s="20">
        <f>IF(G18="","",H18-I18)</f>
        <v/>
      </c>
      <c r="K18" s="30">
        <f>IF(OR(G18="",H18=0),"",I18/H18)</f>
        <v/>
      </c>
      <c r="L18" s="31">
        <f>IF(K18="","",REPT("█",ROUND(MIN(1,MAX(0,K18))*10,0))&amp;REPT("░",10-ROUND(MIN(1,MAX(0,K18))*10,0)))</f>
        <v/>
      </c>
    </row>
    <row r="19">
      <c r="B19" s="27" t="n"/>
      <c r="C19" s="28" t="n"/>
      <c r="D19" s="15" t="n"/>
      <c r="E19" s="24" t="n"/>
      <c r="G19" s="10">
        <f>IF('Setup'!E17="","",'Setup'!E17)</f>
        <v/>
      </c>
      <c r="H19" s="20">
        <f>IF(G19="","",'Setup'!G17)</f>
        <v/>
      </c>
      <c r="I19" s="20">
        <f>IF(G19="","",SUMIFS($E$7:$E$86,$D$7:$D$86,G19))</f>
        <v/>
      </c>
      <c r="J19" s="20">
        <f>IF(G19="","",H19-I19)</f>
        <v/>
      </c>
      <c r="K19" s="30">
        <f>IF(OR(G19="",H19=0),"",I19/H19)</f>
        <v/>
      </c>
      <c r="L19" s="31">
        <f>IF(K19="","",REPT("█",ROUND(MIN(1,MAX(0,K19))*10,0))&amp;REPT("░",10-ROUND(MIN(1,MAX(0,K19))*10,0)))</f>
        <v/>
      </c>
    </row>
    <row r="20">
      <c r="B20" s="27" t="n"/>
      <c r="C20" s="28" t="n"/>
      <c r="D20" s="15" t="n"/>
      <c r="E20" s="24" t="n"/>
      <c r="G20" s="10">
        <f>IF('Setup'!E18="","",'Setup'!E18)</f>
        <v/>
      </c>
      <c r="H20" s="20">
        <f>IF(G20="","",'Setup'!G18)</f>
        <v/>
      </c>
      <c r="I20" s="20">
        <f>IF(G20="","",SUMIFS($E$7:$E$86,$D$7:$D$86,G20))</f>
        <v/>
      </c>
      <c r="J20" s="20">
        <f>IF(G20="","",H20-I20)</f>
        <v/>
      </c>
      <c r="K20" s="30">
        <f>IF(OR(G20="",H20=0),"",I20/H20)</f>
        <v/>
      </c>
      <c r="L20" s="31">
        <f>IF(K20="","",REPT("█",ROUND(MIN(1,MAX(0,K20))*10,0))&amp;REPT("░",10-ROUND(MIN(1,MAX(0,K20))*10,0)))</f>
        <v/>
      </c>
    </row>
    <row r="21">
      <c r="B21" s="27" t="n"/>
      <c r="C21" s="28" t="n"/>
      <c r="D21" s="15" t="n"/>
      <c r="E21" s="24" t="n"/>
      <c r="G21" s="10">
        <f>IF('Setup'!E19="","",'Setup'!E19)</f>
        <v/>
      </c>
      <c r="H21" s="20">
        <f>IF(G21="","",'Setup'!G19)</f>
        <v/>
      </c>
      <c r="I21" s="20">
        <f>IF(G21="","",SUMIFS($E$7:$E$86,$D$7:$D$86,G21))</f>
        <v/>
      </c>
      <c r="J21" s="20">
        <f>IF(G21="","",H21-I21)</f>
        <v/>
      </c>
      <c r="K21" s="30">
        <f>IF(OR(G21="",H21=0),"",I21/H21)</f>
        <v/>
      </c>
      <c r="L21" s="31">
        <f>IF(K21="","",REPT("█",ROUND(MIN(1,MAX(0,K21))*10,0))&amp;REPT("░",10-ROUND(MIN(1,MAX(0,K21))*10,0)))</f>
        <v/>
      </c>
    </row>
    <row r="22">
      <c r="B22" s="27" t="n"/>
      <c r="C22" s="28" t="n"/>
      <c r="D22" s="15" t="n"/>
      <c r="E22" s="24" t="n"/>
      <c r="G22" s="10">
        <f>IF('Setup'!E20="","",'Setup'!E20)</f>
        <v/>
      </c>
      <c r="H22" s="20">
        <f>IF(G22="","",'Setup'!G20)</f>
        <v/>
      </c>
      <c r="I22" s="20">
        <f>IF(G22="","",SUMIFS($E$7:$E$86,$D$7:$D$86,G22))</f>
        <v/>
      </c>
      <c r="J22" s="20">
        <f>IF(G22="","",H22-I22)</f>
        <v/>
      </c>
      <c r="K22" s="30">
        <f>IF(OR(G22="",H22=0),"",I22/H22)</f>
        <v/>
      </c>
      <c r="L22" s="31">
        <f>IF(K22="","",REPT("█",ROUND(MIN(1,MAX(0,K22))*10,0))&amp;REPT("░",10-ROUND(MIN(1,MAX(0,K22))*10,0)))</f>
        <v/>
      </c>
    </row>
    <row r="23">
      <c r="B23" s="27" t="n"/>
      <c r="C23" s="28" t="n"/>
      <c r="D23" s="15" t="n"/>
      <c r="E23" s="24" t="n"/>
      <c r="G23" s="10">
        <f>IF('Setup'!E21="","",'Setup'!E21)</f>
        <v/>
      </c>
      <c r="H23" s="20">
        <f>IF(G23="","",'Setup'!G21)</f>
        <v/>
      </c>
      <c r="I23" s="20">
        <f>IF(G23="","",SUMIFS($E$7:$E$86,$D$7:$D$86,G23))</f>
        <v/>
      </c>
      <c r="J23" s="20">
        <f>IF(G23="","",H23-I23)</f>
        <v/>
      </c>
      <c r="K23" s="30">
        <f>IF(OR(G23="",H23=0),"",I23/H23)</f>
        <v/>
      </c>
      <c r="L23" s="31">
        <f>IF(K23="","",REPT("█",ROUND(MIN(1,MAX(0,K23))*10,0))&amp;REPT("░",10-ROUND(MIN(1,MAX(0,K23))*10,0)))</f>
        <v/>
      </c>
    </row>
    <row r="24">
      <c r="B24" s="27" t="n"/>
      <c r="C24" s="28" t="n"/>
      <c r="D24" s="15" t="n"/>
      <c r="E24" s="24" t="n"/>
      <c r="G24" s="10">
        <f>IF('Setup'!E22="","",'Setup'!E22)</f>
        <v/>
      </c>
      <c r="H24" s="20">
        <f>IF(G24="","",'Setup'!G22)</f>
        <v/>
      </c>
      <c r="I24" s="20">
        <f>IF(G24="","",SUMIFS($E$7:$E$86,$D$7:$D$86,G24))</f>
        <v/>
      </c>
      <c r="J24" s="20">
        <f>IF(G24="","",H24-I24)</f>
        <v/>
      </c>
      <c r="K24" s="30">
        <f>IF(OR(G24="",H24=0),"",I24/H24)</f>
        <v/>
      </c>
      <c r="L24" s="31">
        <f>IF(K24="","",REPT("█",ROUND(MIN(1,MAX(0,K24))*10,0))&amp;REPT("░",10-ROUND(MIN(1,MAX(0,K24))*10,0)))</f>
        <v/>
      </c>
    </row>
    <row r="25">
      <c r="B25" s="27" t="n"/>
      <c r="C25" s="28" t="n"/>
      <c r="D25" s="15" t="n"/>
      <c r="E25" s="24" t="n"/>
      <c r="G25" s="10">
        <f>IF('Setup'!E23="","",'Setup'!E23)</f>
        <v/>
      </c>
      <c r="H25" s="20">
        <f>IF(G25="","",'Setup'!G23)</f>
        <v/>
      </c>
      <c r="I25" s="20">
        <f>IF(G25="","",SUMIFS($E$7:$E$86,$D$7:$D$86,G25))</f>
        <v/>
      </c>
      <c r="J25" s="20">
        <f>IF(G25="","",H25-I25)</f>
        <v/>
      </c>
      <c r="K25" s="30">
        <f>IF(OR(G25="",H25=0),"",I25/H25)</f>
        <v/>
      </c>
      <c r="L25" s="31">
        <f>IF(K25="","",REPT("█",ROUND(MIN(1,MAX(0,K25))*10,0))&amp;REPT("░",10-ROUND(MIN(1,MAX(0,K25))*10,0)))</f>
        <v/>
      </c>
    </row>
    <row r="26">
      <c r="B26" s="27" t="n"/>
      <c r="C26" s="28" t="n"/>
      <c r="D26" s="15" t="n"/>
      <c r="E26" s="24" t="n"/>
      <c r="G26" s="10">
        <f>IF('Setup'!E24="","",'Setup'!E24)</f>
        <v/>
      </c>
      <c r="H26" s="20">
        <f>IF(G26="","",'Setup'!G24)</f>
        <v/>
      </c>
      <c r="I26" s="20">
        <f>IF(G26="","",SUMIFS($E$7:$E$86,$D$7:$D$86,G26))</f>
        <v/>
      </c>
      <c r="J26" s="20">
        <f>IF(G26="","",H26-I26)</f>
        <v/>
      </c>
      <c r="K26" s="30">
        <f>IF(OR(G26="",H26=0),"",I26/H26)</f>
        <v/>
      </c>
      <c r="L26" s="31">
        <f>IF(K26="","",REPT("█",ROUND(MIN(1,MAX(0,K26))*10,0))&amp;REPT("░",10-ROUND(MIN(1,MAX(0,K26))*10,0)))</f>
        <v/>
      </c>
    </row>
    <row r="27">
      <c r="B27" s="27" t="n"/>
      <c r="C27" s="28" t="n"/>
      <c r="D27" s="15" t="n"/>
      <c r="E27" s="24" t="n"/>
      <c r="G27" s="10">
        <f>IF('Setup'!E25="","",'Setup'!E25)</f>
        <v/>
      </c>
      <c r="H27" s="20">
        <f>IF(G27="","",'Setup'!G25)</f>
        <v/>
      </c>
      <c r="I27" s="20">
        <f>IF(G27="","",SUMIFS($E$7:$E$86,$D$7:$D$86,G27))</f>
        <v/>
      </c>
      <c r="J27" s="20">
        <f>IF(G27="","",H27-I27)</f>
        <v/>
      </c>
      <c r="K27" s="30">
        <f>IF(OR(G27="",H27=0),"",I27/H27)</f>
        <v/>
      </c>
      <c r="L27" s="31">
        <f>IF(K27="","",REPT("█",ROUND(MIN(1,MAX(0,K27))*10,0))&amp;REPT("░",10-ROUND(MIN(1,MAX(0,K27))*10,0)))</f>
        <v/>
      </c>
    </row>
    <row r="28">
      <c r="B28" s="27" t="n"/>
      <c r="C28" s="28" t="n"/>
      <c r="D28" s="15" t="n"/>
      <c r="E28" s="24" t="n"/>
      <c r="G28" s="10">
        <f>IF('Setup'!E26="","",'Setup'!E26)</f>
        <v/>
      </c>
      <c r="H28" s="20">
        <f>IF(G28="","",'Setup'!G26)</f>
        <v/>
      </c>
      <c r="I28" s="20">
        <f>IF(G28="","",SUMIFS($E$7:$E$86,$D$7:$D$86,G28))</f>
        <v/>
      </c>
      <c r="J28" s="20">
        <f>IF(G28="","",H28-I28)</f>
        <v/>
      </c>
      <c r="K28" s="30">
        <f>IF(OR(G28="",H28=0),"",I28/H28)</f>
        <v/>
      </c>
      <c r="L28" s="31">
        <f>IF(K28="","",REPT("█",ROUND(MIN(1,MAX(0,K28))*10,0))&amp;REPT("░",10-ROUND(MIN(1,MAX(0,K28))*10,0)))</f>
        <v/>
      </c>
    </row>
    <row r="29">
      <c r="B29" s="27" t="n"/>
      <c r="C29" s="28" t="n"/>
      <c r="D29" s="15" t="n"/>
      <c r="E29" s="24" t="n"/>
      <c r="G29" s="10">
        <f>IF('Setup'!E27="","",'Setup'!E27)</f>
        <v/>
      </c>
      <c r="H29" s="20">
        <f>IF(G29="","",'Setup'!G27)</f>
        <v/>
      </c>
      <c r="I29" s="20">
        <f>IF(G29="","",SUMIFS($E$7:$E$86,$D$7:$D$86,G29))</f>
        <v/>
      </c>
      <c r="J29" s="20">
        <f>IF(G29="","",H29-I29)</f>
        <v/>
      </c>
      <c r="K29" s="30">
        <f>IF(OR(G29="",H29=0),"",I29/H29)</f>
        <v/>
      </c>
      <c r="L29" s="31">
        <f>IF(K29="","",REPT("█",ROUND(MIN(1,MAX(0,K29))*10,0))&amp;REPT("░",10-ROUND(MIN(1,MAX(0,K29))*10,0)))</f>
        <v/>
      </c>
    </row>
    <row r="30">
      <c r="B30" s="27" t="n"/>
      <c r="C30" s="28" t="n"/>
      <c r="D30" s="15" t="n"/>
      <c r="E30" s="24" t="n"/>
      <c r="G30" s="10">
        <f>IF('Setup'!E28="","",'Setup'!E28)</f>
        <v/>
      </c>
      <c r="H30" s="20">
        <f>IF(G30="","",'Setup'!G28)</f>
        <v/>
      </c>
      <c r="I30" s="20">
        <f>IF(G30="","",SUMIFS($E$7:$E$86,$D$7:$D$86,G30))</f>
        <v/>
      </c>
      <c r="J30" s="20">
        <f>IF(G30="","",H30-I30)</f>
        <v/>
      </c>
      <c r="K30" s="30">
        <f>IF(OR(G30="",H30=0),"",I30/H30)</f>
        <v/>
      </c>
      <c r="L30" s="31">
        <f>IF(K30="","",REPT("█",ROUND(MIN(1,MAX(0,K30))*10,0))&amp;REPT("░",10-ROUND(MIN(1,MAX(0,K30))*10,0)))</f>
        <v/>
      </c>
    </row>
    <row r="31">
      <c r="B31" s="27" t="n"/>
      <c r="C31" s="28" t="n"/>
      <c r="D31" s="15" t="n"/>
      <c r="E31" s="24" t="n"/>
      <c r="G31" s="10">
        <f>IF('Setup'!E29="","",'Setup'!E29)</f>
        <v/>
      </c>
      <c r="H31" s="20">
        <f>IF(G31="","",'Setup'!G29)</f>
        <v/>
      </c>
      <c r="I31" s="20">
        <f>IF(G31="","",SUMIFS($E$7:$E$86,$D$7:$D$86,G31))</f>
        <v/>
      </c>
      <c r="J31" s="20">
        <f>IF(G31="","",H31-I31)</f>
        <v/>
      </c>
      <c r="K31" s="30">
        <f>IF(OR(G31="",H31=0),"",I31/H31)</f>
        <v/>
      </c>
      <c r="L31" s="31">
        <f>IF(K31="","",REPT("█",ROUND(MIN(1,MAX(0,K31))*10,0))&amp;REPT("░",10-ROUND(MIN(1,MAX(0,K31))*10,0)))</f>
        <v/>
      </c>
    </row>
    <row r="32">
      <c r="B32" s="27" t="n"/>
      <c r="C32" s="28" t="n"/>
      <c r="D32" s="15" t="n"/>
      <c r="E32" s="24" t="n"/>
      <c r="G32" s="10">
        <f>IF('Setup'!E30="","",'Setup'!E30)</f>
        <v/>
      </c>
      <c r="H32" s="20">
        <f>IF(G32="","",'Setup'!G30)</f>
        <v/>
      </c>
      <c r="I32" s="20">
        <f>IF(G32="","",SUMIFS($E$7:$E$86,$D$7:$D$86,G32))</f>
        <v/>
      </c>
      <c r="J32" s="20">
        <f>IF(G32="","",H32-I32)</f>
        <v/>
      </c>
      <c r="K32" s="30">
        <f>IF(OR(G32="",H32=0),"",I32/H32)</f>
        <v/>
      </c>
      <c r="L32" s="31">
        <f>IF(K32="","",REPT("█",ROUND(MIN(1,MAX(0,K32))*10,0))&amp;REPT("░",10-ROUND(MIN(1,MAX(0,K32))*10,0)))</f>
        <v/>
      </c>
    </row>
    <row r="33">
      <c r="B33" s="27" t="n"/>
      <c r="C33" s="28" t="n"/>
      <c r="D33" s="15" t="n"/>
      <c r="E33" s="24" t="n"/>
      <c r="G33" s="10">
        <f>IF('Setup'!E31="","",'Setup'!E31)</f>
        <v/>
      </c>
      <c r="H33" s="20">
        <f>IF(G33="","",'Setup'!G31)</f>
        <v/>
      </c>
      <c r="I33" s="20">
        <f>IF(G33="","",SUMIFS($E$7:$E$86,$D$7:$D$86,G33))</f>
        <v/>
      </c>
      <c r="J33" s="20">
        <f>IF(G33="","",H33-I33)</f>
        <v/>
      </c>
      <c r="K33" s="30">
        <f>IF(OR(G33="",H33=0),"",I33/H33)</f>
        <v/>
      </c>
      <c r="L33" s="31">
        <f>IF(K33="","",REPT("█",ROUND(MIN(1,MAX(0,K33))*10,0))&amp;REPT("░",10-ROUND(MIN(1,MAX(0,K33))*10,0)))</f>
        <v/>
      </c>
    </row>
    <row r="34">
      <c r="B34" s="27" t="n"/>
      <c r="C34" s="28" t="n"/>
      <c r="D34" s="15" t="n"/>
      <c r="E34" s="24" t="n"/>
      <c r="G34" s="10">
        <f>IF('Setup'!E32="","",'Setup'!E32)</f>
        <v/>
      </c>
      <c r="H34" s="20">
        <f>IF(G34="","",'Setup'!G32)</f>
        <v/>
      </c>
      <c r="I34" s="20">
        <f>IF(G34="","",SUMIFS($E$7:$E$86,$D$7:$D$86,G34))</f>
        <v/>
      </c>
      <c r="J34" s="20">
        <f>IF(G34="","",H34-I34)</f>
        <v/>
      </c>
      <c r="K34" s="30">
        <f>IF(OR(G34="",H34=0),"",I34/H34)</f>
        <v/>
      </c>
      <c r="L34" s="31">
        <f>IF(K34="","",REPT("█",ROUND(MIN(1,MAX(0,K34))*10,0))&amp;REPT("░",10-ROUND(MIN(1,MAX(0,K34))*10,0)))</f>
        <v/>
      </c>
    </row>
    <row r="35">
      <c r="B35" s="27" t="n"/>
      <c r="C35" s="28" t="n"/>
      <c r="D35" s="15" t="n"/>
      <c r="E35" s="24" t="n"/>
      <c r="G35" s="10">
        <f>IF('Setup'!E33="","",'Setup'!E33)</f>
        <v/>
      </c>
      <c r="H35" s="20">
        <f>IF(G35="","",'Setup'!G33)</f>
        <v/>
      </c>
      <c r="I35" s="20">
        <f>IF(G35="","",SUMIFS($E$7:$E$86,$D$7:$D$86,G35))</f>
        <v/>
      </c>
      <c r="J35" s="20">
        <f>IF(G35="","",H35-I35)</f>
        <v/>
      </c>
      <c r="K35" s="30">
        <f>IF(OR(G35="",H35=0),"",I35/H35)</f>
        <v/>
      </c>
      <c r="L35" s="31">
        <f>IF(K35="","",REPT("█",ROUND(MIN(1,MAX(0,K35))*10,0))&amp;REPT("░",10-ROUND(MIN(1,MAX(0,K35))*10,0)))</f>
        <v/>
      </c>
    </row>
    <row r="36">
      <c r="B36" s="27" t="n"/>
      <c r="C36" s="28" t="n"/>
      <c r="D36" s="15" t="n"/>
      <c r="E36" s="24" t="n"/>
      <c r="G36" s="10">
        <f>IF('Setup'!E34="","",'Setup'!E34)</f>
        <v/>
      </c>
      <c r="H36" s="20">
        <f>IF(G36="","",'Setup'!G34)</f>
        <v/>
      </c>
      <c r="I36" s="20">
        <f>IF(G36="","",SUMIFS($E$7:$E$86,$D$7:$D$86,G36))</f>
        <v/>
      </c>
      <c r="J36" s="20">
        <f>IF(G36="","",H36-I36)</f>
        <v/>
      </c>
      <c r="K36" s="30">
        <f>IF(OR(G36="",H36=0),"",I36/H36)</f>
        <v/>
      </c>
      <c r="L36" s="31">
        <f>IF(K36="","",REPT("█",ROUND(MIN(1,MAX(0,K36))*10,0))&amp;REPT("░",10-ROUND(MIN(1,MAX(0,K36))*10,0)))</f>
        <v/>
      </c>
    </row>
    <row r="37">
      <c r="B37" s="27" t="n"/>
      <c r="C37" s="28" t="n"/>
      <c r="D37" s="15" t="n"/>
      <c r="E37" s="24" t="n"/>
      <c r="G37" s="10">
        <f>IF('Setup'!E35="","",'Setup'!E35)</f>
        <v/>
      </c>
      <c r="H37" s="20">
        <f>IF(G37="","",'Setup'!G35)</f>
        <v/>
      </c>
      <c r="I37" s="20">
        <f>IF(G37="","",SUMIFS($E$7:$E$86,$D$7:$D$86,G37))</f>
        <v/>
      </c>
      <c r="J37" s="20">
        <f>IF(G37="","",H37-I37)</f>
        <v/>
      </c>
      <c r="K37" s="30">
        <f>IF(OR(G37="",H37=0),"",I37/H37)</f>
        <v/>
      </c>
      <c r="L37" s="31">
        <f>IF(K37="","",REPT("█",ROUND(MIN(1,MAX(0,K37))*10,0))&amp;REPT("░",10-ROUND(MIN(1,MAX(0,K37))*10,0)))</f>
        <v/>
      </c>
    </row>
    <row r="38">
      <c r="B38" s="27" t="n"/>
      <c r="C38" s="28" t="n"/>
      <c r="D38" s="15" t="n"/>
      <c r="E38" s="24" t="n"/>
      <c r="G38" s="10">
        <f>IF('Setup'!E36="","",'Setup'!E36)</f>
        <v/>
      </c>
      <c r="H38" s="20">
        <f>IF(G38="","",'Setup'!G36)</f>
        <v/>
      </c>
      <c r="I38" s="20">
        <f>IF(G38="","",SUMIFS($E$7:$E$86,$D$7:$D$86,G38))</f>
        <v/>
      </c>
      <c r="J38" s="20">
        <f>IF(G38="","",H38-I38)</f>
        <v/>
      </c>
      <c r="K38" s="30">
        <f>IF(OR(G38="",H38=0),"",I38/H38)</f>
        <v/>
      </c>
      <c r="L38" s="31">
        <f>IF(K38="","",REPT("█",ROUND(MIN(1,MAX(0,K38))*10,0))&amp;REPT("░",10-ROUND(MIN(1,MAX(0,K38))*10,0)))</f>
        <v/>
      </c>
    </row>
    <row r="39">
      <c r="B39" s="27" t="n"/>
      <c r="C39" s="28" t="n"/>
      <c r="D39" s="15" t="n"/>
      <c r="E39" s="24" t="n"/>
      <c r="G39" s="10">
        <f>IF('Setup'!E37="","",'Setup'!E37)</f>
        <v/>
      </c>
      <c r="H39" s="20">
        <f>IF(G39="","",'Setup'!G37)</f>
        <v/>
      </c>
      <c r="I39" s="20">
        <f>IF(G39="","",SUMIFS($E$7:$E$86,$D$7:$D$86,G39))</f>
        <v/>
      </c>
      <c r="J39" s="20">
        <f>IF(G39="","",H39-I39)</f>
        <v/>
      </c>
      <c r="K39" s="30">
        <f>IF(OR(G39="",H39=0),"",I39/H39)</f>
        <v/>
      </c>
      <c r="L39" s="31">
        <f>IF(K39="","",REPT("█",ROUND(MIN(1,MAX(0,K39))*10,0))&amp;REPT("░",10-ROUND(MIN(1,MAX(0,K39))*10,0)))</f>
        <v/>
      </c>
    </row>
    <row r="40">
      <c r="B40" s="27" t="n"/>
      <c r="C40" s="28" t="n"/>
      <c r="D40" s="15" t="n"/>
      <c r="E40" s="24" t="n"/>
      <c r="G40" s="10">
        <f>IF('Setup'!E38="","",'Setup'!E38)</f>
        <v/>
      </c>
      <c r="H40" s="20">
        <f>IF(G40="","",'Setup'!G38)</f>
        <v/>
      </c>
      <c r="I40" s="20">
        <f>IF(G40="","",SUMIFS($E$7:$E$86,$D$7:$D$86,G40))</f>
        <v/>
      </c>
      <c r="J40" s="20">
        <f>IF(G40="","",H40-I40)</f>
        <v/>
      </c>
      <c r="K40" s="30">
        <f>IF(OR(G40="",H40=0),"",I40/H40)</f>
        <v/>
      </c>
      <c r="L40" s="31">
        <f>IF(K40="","",REPT("█",ROUND(MIN(1,MAX(0,K40))*10,0))&amp;REPT("░",10-ROUND(MIN(1,MAX(0,K40))*10,0)))</f>
        <v/>
      </c>
    </row>
    <row r="41">
      <c r="B41" s="27" t="n"/>
      <c r="C41" s="28" t="n"/>
      <c r="D41" s="15" t="n"/>
      <c r="E41" s="24" t="n"/>
      <c r="G41" s="10">
        <f>IF('Setup'!E39="","",'Setup'!E39)</f>
        <v/>
      </c>
      <c r="H41" s="20">
        <f>IF(G41="","",'Setup'!G39)</f>
        <v/>
      </c>
      <c r="I41" s="20">
        <f>IF(G41="","",SUMIFS($E$7:$E$86,$D$7:$D$86,G41))</f>
        <v/>
      </c>
      <c r="J41" s="20">
        <f>IF(G41="","",H41-I41)</f>
        <v/>
      </c>
      <c r="K41" s="30">
        <f>IF(OR(G41="",H41=0),"",I41/H41)</f>
        <v/>
      </c>
      <c r="L41" s="31">
        <f>IF(K41="","",REPT("█",ROUND(MIN(1,MAX(0,K41))*10,0))&amp;REPT("░",10-ROUND(MIN(1,MAX(0,K41))*10,0)))</f>
        <v/>
      </c>
    </row>
    <row r="42">
      <c r="B42" s="27" t="n"/>
      <c r="C42" s="28" t="n"/>
      <c r="D42" s="15" t="n"/>
      <c r="E42" s="24" t="n"/>
    </row>
    <row r="43">
      <c r="B43" s="27" t="n"/>
      <c r="C43" s="28" t="n"/>
      <c r="D43" s="15" t="n"/>
      <c r="E43" s="24" t="n"/>
    </row>
    <row r="44">
      <c r="B44" s="27" t="n"/>
      <c r="C44" s="28" t="n"/>
      <c r="D44" s="15" t="n"/>
      <c r="E44" s="24" t="n"/>
    </row>
    <row r="45">
      <c r="B45" s="27" t="n"/>
      <c r="C45" s="28" t="n"/>
      <c r="D45" s="15" t="n"/>
      <c r="E45" s="24" t="n"/>
    </row>
    <row r="46">
      <c r="B46" s="27" t="n"/>
      <c r="C46" s="28" t="n"/>
      <c r="D46" s="15" t="n"/>
      <c r="E46" s="24" t="n"/>
    </row>
    <row r="47">
      <c r="B47" s="27" t="n"/>
      <c r="C47" s="28" t="n"/>
      <c r="D47" s="15" t="n"/>
      <c r="E47" s="24" t="n"/>
    </row>
    <row r="48">
      <c r="B48" s="27" t="n"/>
      <c r="C48" s="28" t="n"/>
      <c r="D48" s="15" t="n"/>
      <c r="E48" s="24" t="n"/>
    </row>
    <row r="49">
      <c r="B49" s="27" t="n"/>
      <c r="C49" s="28" t="n"/>
      <c r="D49" s="15" t="n"/>
      <c r="E49" s="24" t="n"/>
    </row>
    <row r="50">
      <c r="B50" s="27" t="n"/>
      <c r="C50" s="28" t="n"/>
      <c r="D50" s="15" t="n"/>
      <c r="E50" s="24" t="n"/>
    </row>
    <row r="51">
      <c r="B51" s="27" t="n"/>
      <c r="C51" s="28" t="n"/>
      <c r="D51" s="15" t="n"/>
      <c r="E51" s="24" t="n"/>
    </row>
    <row r="52">
      <c r="B52" s="27" t="n"/>
      <c r="C52" s="28" t="n"/>
      <c r="D52" s="15" t="n"/>
      <c r="E52" s="24" t="n"/>
    </row>
    <row r="53">
      <c r="B53" s="27" t="n"/>
      <c r="C53" s="28" t="n"/>
      <c r="D53" s="15" t="n"/>
      <c r="E53" s="24" t="n"/>
    </row>
    <row r="54">
      <c r="B54" s="27" t="n"/>
      <c r="C54" s="28" t="n"/>
      <c r="D54" s="15" t="n"/>
      <c r="E54" s="24" t="n"/>
    </row>
    <row r="55">
      <c r="B55" s="27" t="n"/>
      <c r="C55" s="28" t="n"/>
      <c r="D55" s="15" t="n"/>
      <c r="E55" s="24" t="n"/>
    </row>
    <row r="56">
      <c r="B56" s="27" t="n"/>
      <c r="C56" s="28" t="n"/>
      <c r="D56" s="15" t="n"/>
      <c r="E56" s="24" t="n"/>
    </row>
    <row r="57">
      <c r="B57" s="27" t="n"/>
      <c r="C57" s="28" t="n"/>
      <c r="D57" s="15" t="n"/>
      <c r="E57" s="24" t="n"/>
    </row>
    <row r="58">
      <c r="B58" s="27" t="n"/>
      <c r="C58" s="28" t="n"/>
      <c r="D58" s="15" t="n"/>
      <c r="E58" s="24" t="n"/>
    </row>
    <row r="59">
      <c r="B59" s="27" t="n"/>
      <c r="C59" s="28" t="n"/>
      <c r="D59" s="15" t="n"/>
      <c r="E59" s="24" t="n"/>
    </row>
    <row r="60">
      <c r="B60" s="27" t="n"/>
      <c r="C60" s="28" t="n"/>
      <c r="D60" s="15" t="n"/>
      <c r="E60" s="24" t="n"/>
    </row>
    <row r="61">
      <c r="B61" s="27" t="n"/>
      <c r="C61" s="28" t="n"/>
      <c r="D61" s="15" t="n"/>
      <c r="E61" s="24" t="n"/>
    </row>
    <row r="62">
      <c r="B62" s="27" t="n"/>
      <c r="C62" s="28" t="n"/>
      <c r="D62" s="15" t="n"/>
      <c r="E62" s="24" t="n"/>
    </row>
    <row r="63">
      <c r="B63" s="27" t="n"/>
      <c r="C63" s="28" t="n"/>
      <c r="D63" s="15" t="n"/>
      <c r="E63" s="24" t="n"/>
    </row>
    <row r="64">
      <c r="B64" s="27" t="n"/>
      <c r="C64" s="28" t="n"/>
      <c r="D64" s="15" t="n"/>
      <c r="E64" s="24" t="n"/>
    </row>
    <row r="65">
      <c r="B65" s="27" t="n"/>
      <c r="C65" s="28" t="n"/>
      <c r="D65" s="15" t="n"/>
      <c r="E65" s="24" t="n"/>
    </row>
    <row r="66">
      <c r="B66" s="27" t="n"/>
      <c r="C66" s="28" t="n"/>
      <c r="D66" s="15" t="n"/>
      <c r="E66" s="24" t="n"/>
    </row>
    <row r="67">
      <c r="B67" s="27" t="n"/>
      <c r="C67" s="28" t="n"/>
      <c r="D67" s="15" t="n"/>
      <c r="E67" s="24" t="n"/>
    </row>
    <row r="68">
      <c r="B68" s="27" t="n"/>
      <c r="C68" s="28" t="n"/>
      <c r="D68" s="15" t="n"/>
      <c r="E68" s="24" t="n"/>
    </row>
    <row r="69">
      <c r="B69" s="27" t="n"/>
      <c r="C69" s="28" t="n"/>
      <c r="D69" s="15" t="n"/>
      <c r="E69" s="24" t="n"/>
    </row>
    <row r="70">
      <c r="B70" s="27" t="n"/>
      <c r="C70" s="28" t="n"/>
      <c r="D70" s="15" t="n"/>
      <c r="E70" s="24" t="n"/>
    </row>
    <row r="71">
      <c r="B71" s="27" t="n"/>
      <c r="C71" s="28" t="n"/>
      <c r="D71" s="15" t="n"/>
      <c r="E71" s="24" t="n"/>
    </row>
    <row r="72">
      <c r="B72" s="27" t="n"/>
      <c r="C72" s="28" t="n"/>
      <c r="D72" s="15" t="n"/>
      <c r="E72" s="24" t="n"/>
    </row>
    <row r="73">
      <c r="B73" s="27" t="n"/>
      <c r="C73" s="28" t="n"/>
      <c r="D73" s="15" t="n"/>
      <c r="E73" s="24" t="n"/>
    </row>
    <row r="74">
      <c r="B74" s="27" t="n"/>
      <c r="C74" s="28" t="n"/>
      <c r="D74" s="15" t="n"/>
      <c r="E74" s="24" t="n"/>
    </row>
    <row r="75">
      <c r="B75" s="27" t="n"/>
      <c r="C75" s="28" t="n"/>
      <c r="D75" s="15" t="n"/>
      <c r="E75" s="24" t="n"/>
    </row>
    <row r="76">
      <c r="B76" s="27" t="n"/>
      <c r="C76" s="28" t="n"/>
      <c r="D76" s="15" t="n"/>
      <c r="E76" s="24" t="n"/>
    </row>
    <row r="77">
      <c r="B77" s="27" t="n"/>
      <c r="C77" s="28" t="n"/>
      <c r="D77" s="15" t="n"/>
      <c r="E77" s="24" t="n"/>
    </row>
    <row r="78">
      <c r="B78" s="27" t="n"/>
      <c r="C78" s="28" t="n"/>
      <c r="D78" s="15" t="n"/>
      <c r="E78" s="24" t="n"/>
    </row>
    <row r="79">
      <c r="B79" s="27" t="n"/>
      <c r="C79" s="28" t="n"/>
      <c r="D79" s="15" t="n"/>
      <c r="E79" s="24" t="n"/>
    </row>
    <row r="80">
      <c r="B80" s="27" t="n"/>
      <c r="C80" s="28" t="n"/>
      <c r="D80" s="15" t="n"/>
      <c r="E80" s="24" t="n"/>
    </row>
    <row r="81">
      <c r="B81" s="27" t="n"/>
      <c r="C81" s="28" t="n"/>
      <c r="D81" s="15" t="n"/>
      <c r="E81" s="24" t="n"/>
    </row>
    <row r="82">
      <c r="B82" s="27" t="n"/>
      <c r="C82" s="28" t="n"/>
      <c r="D82" s="15" t="n"/>
      <c r="E82" s="24" t="n"/>
    </row>
    <row r="83">
      <c r="B83" s="27" t="n"/>
      <c r="C83" s="28" t="n"/>
      <c r="D83" s="15" t="n"/>
      <c r="E83" s="24" t="n"/>
    </row>
    <row r="84">
      <c r="B84" s="27" t="n"/>
      <c r="C84" s="28" t="n"/>
      <c r="D84" s="15" t="n"/>
      <c r="E84" s="24" t="n"/>
    </row>
    <row r="85">
      <c r="B85" s="27" t="n"/>
      <c r="C85" s="28" t="n"/>
      <c r="D85" s="15" t="n"/>
      <c r="E85" s="24" t="n"/>
    </row>
    <row r="86">
      <c r="B86" s="27" t="n"/>
      <c r="C86" s="28" t="n"/>
      <c r="D86" s="15" t="n"/>
      <c r="E86" s="24" t="n"/>
    </row>
  </sheetData>
  <sheetProtection selectLockedCells="0" selectUnlockedCells="0" sheet="1" objects="0" insertRows="0" insertHyperlinks="1" autoFilter="0" scenarios="0" formatColumns="0" deleteColumns="1" insertColumns="1" pivotTables="1" deleteRows="1" formatCells="1" formatRows="0" sort="0"/>
  <conditionalFormatting sqref="H8">
    <cfRule type="cellIs" priority="1" operator="lessThan" dxfId="1">
      <formula>0</formula>
    </cfRule>
  </conditionalFormatting>
  <conditionalFormatting sqref="J12:J41">
    <cfRule type="cellIs" priority="2" operator="lessThan" dxfId="1">
      <formula>0</formula>
    </cfRule>
  </conditionalFormatting>
  <conditionalFormatting sqref="L12:L41">
    <cfRule type="expression" priority="3" dxfId="2">
      <formula>K12&gt;1</formula>
    </cfRule>
  </conditionalFormatting>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showDropDown="0" showInputMessage="0" showErrorMessage="0" allowBlank="1" type="list">
      <formula1>=Categories</formula1>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gridLines="0"/>
  <pageMargins left="0.75" right="0.75" top="1" bottom="1" header="0.5" footer="0.5"/>
  <pageSetup orientation="landscape" fitToHeight="1" fitToWidth="1"/>
</worksheet>
</file>

<file path=xl/worksheets/sheet9.xml><?xml version="1.0" encoding="utf-8"?>
<worksheet xmlns="http://schemas.openxmlformats.org/spreadsheetml/2006/main">
  <sheetPr>
    <tabColor rgb="002F6F5E"/>
    <outlinePr summaryBelow="1" summaryRight="1"/>
    <pageSetUpPr fitToPage="1"/>
  </sheetPr>
  <dimension ref="B2:L86"/>
  <sheetViews>
    <sheetView showGridLines="0" workbookViewId="0">
      <pane ySplit="6" topLeftCell="A7" activePane="bottomLeft" state="frozen"/>
      <selection pane="bottomLeft" activeCell="A1" sqref="A1"/>
    </sheetView>
  </sheetViews>
  <sheetFormatPr baseColWidth="8" defaultRowHeight="15"/>
  <cols>
    <col width="3" customWidth="1" min="1" max="1"/>
    <col width="12" customWidth="1" min="2" max="2"/>
    <col width="26" customWidth="1" min="3" max="3"/>
    <col width="22" customWidth="1" min="4" max="4"/>
    <col width="14" customWidth="1" min="5" max="5"/>
    <col width="14" customWidth="1" min="6" max="6"/>
    <col width="22" customWidth="1" min="7" max="7"/>
    <col width="13" customWidth="1" min="8" max="8"/>
    <col width="13" customWidth="1" min="9" max="9"/>
    <col width="13" customWidth="1" min="10" max="10"/>
    <col width="9"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June</t>
        </is>
      </c>
    </row>
    <row r="3">
      <c r="B3" s="2" t="inlineStr">
        <is>
          <t>Log what you spend. The summary on the right updates itself.</t>
        </is>
      </c>
    </row>
    <row r="4">
      <c r="B4" s="3" t="inlineStr">
        <is>
          <t>Start here</t>
        </is>
      </c>
      <c r="D4" s="3" t="inlineStr">
        <is>
          <t>Dashboard</t>
        </is>
      </c>
      <c r="E4" s="3" t="inlineStr">
        <is>
          <t>Setup</t>
        </is>
      </c>
      <c r="F4" s="3" t="inlineStr">
        <is>
          <t>Months</t>
        </is>
      </c>
      <c r="G4" s="3" t="inlineStr">
        <is>
          <t>Bills</t>
        </is>
      </c>
      <c r="H4" s="3" t="inlineStr">
        <is>
          <t>Paycheck</t>
        </is>
      </c>
      <c r="I4" s="3" t="inlineStr">
        <is>
          <t>Debt</t>
        </is>
      </c>
      <c r="J4" s="3" t="inlineStr">
        <is>
          <t>Savings</t>
        </is>
      </c>
    </row>
    <row r="6" ht="22" customHeight="1">
      <c r="B6" s="9" t="inlineStr">
        <is>
          <t>Date</t>
        </is>
      </c>
      <c r="C6" s="9" t="inlineStr">
        <is>
          <t>What</t>
        </is>
      </c>
      <c r="D6" s="9" t="inlineStr">
        <is>
          <t>Category</t>
        </is>
      </c>
      <c r="E6" s="9" t="inlineStr">
        <is>
          <t>Amount</t>
        </is>
      </c>
      <c r="G6" s="17" t="inlineStr">
        <is>
          <t>Income this month</t>
        </is>
      </c>
      <c r="H6" s="25">
        <f>'Setup'!$C$18</f>
        <v/>
      </c>
      <c r="I6" s="26" t="inlineStr">
        <is>
          <t>Type over this if your income was different</t>
        </is>
      </c>
    </row>
    <row r="7">
      <c r="B7" s="27" t="n"/>
      <c r="C7" s="28" t="n"/>
      <c r="D7" s="15" t="n"/>
      <c r="E7" s="24" t="n"/>
      <c r="G7" s="17" t="inlineStr">
        <is>
          <t>Spent</t>
        </is>
      </c>
      <c r="H7" s="29">
        <f>SUM(E7:E86)</f>
        <v/>
      </c>
    </row>
    <row r="8">
      <c r="B8" s="27" t="n"/>
      <c r="C8" s="28" t="n"/>
      <c r="D8" s="15" t="n"/>
      <c r="E8" s="24" t="n"/>
      <c r="G8" s="17" t="inlineStr">
        <is>
          <t>Left over</t>
        </is>
      </c>
      <c r="H8" s="29">
        <f>H6-H7</f>
        <v/>
      </c>
    </row>
    <row r="9">
      <c r="B9" s="27" t="n"/>
      <c r="C9" s="28" t="n"/>
      <c r="D9" s="15" t="n"/>
      <c r="E9" s="24" t="n"/>
      <c r="G9" s="17" t="inlineStr">
        <is>
          <t>Saved and debt paid</t>
        </is>
      </c>
      <c r="H9" s="29">
        <f>SUMPRODUCT(SUMIFS($E$7:$E$86,$D$7:$D$86,'Setup'!$E$10:$E$39)*(('Setup'!$F$10:$F$39="Savings")+('Setup'!$F$10:$F$39="Debt")))</f>
        <v/>
      </c>
    </row>
    <row r="10">
      <c r="B10" s="27" t="n"/>
      <c r="C10" s="28" t="n"/>
      <c r="D10" s="15" t="n"/>
      <c r="E10" s="24" t="n"/>
    </row>
    <row r="11" ht="22" customHeight="1">
      <c r="B11" s="27" t="n"/>
      <c r="C11" s="28" t="n"/>
      <c r="D11" s="15" t="n"/>
      <c r="E11" s="24" t="n"/>
      <c r="G11" s="9" t="inlineStr">
        <is>
          <t>Category</t>
        </is>
      </c>
      <c r="H11" s="9" t="inlineStr">
        <is>
          <t>Budget</t>
        </is>
      </c>
      <c r="I11" s="9" t="inlineStr">
        <is>
          <t>Spent</t>
        </is>
      </c>
      <c r="J11" s="9" t="inlineStr">
        <is>
          <t>Left</t>
        </is>
      </c>
      <c r="K11" s="9" t="inlineStr">
        <is>
          <t>Used</t>
        </is>
      </c>
      <c r="L11" s="9" t="inlineStr"/>
    </row>
    <row r="12">
      <c r="B12" s="27" t="n"/>
      <c r="C12" s="28" t="n"/>
      <c r="D12" s="15" t="n"/>
      <c r="E12" s="24" t="n"/>
      <c r="G12" s="10">
        <f>IF('Setup'!E10="","",'Setup'!E10)</f>
        <v/>
      </c>
      <c r="H12" s="20">
        <f>IF(G12="","",'Setup'!G10)</f>
        <v/>
      </c>
      <c r="I12" s="20">
        <f>IF(G12="","",SUMIFS($E$7:$E$86,$D$7:$D$86,G12))</f>
        <v/>
      </c>
      <c r="J12" s="20">
        <f>IF(G12="","",H12-I12)</f>
        <v/>
      </c>
      <c r="K12" s="30">
        <f>IF(OR(G12="",H12=0),"",I12/H12)</f>
        <v/>
      </c>
      <c r="L12" s="31">
        <f>IF(K12="","",REPT("█",ROUND(MIN(1,MAX(0,K12))*10,0))&amp;REPT("░",10-ROUND(MIN(1,MAX(0,K12))*10,0)))</f>
        <v/>
      </c>
    </row>
    <row r="13">
      <c r="B13" s="27" t="n"/>
      <c r="C13" s="28" t="n"/>
      <c r="D13" s="15" t="n"/>
      <c r="E13" s="24" t="n"/>
      <c r="G13" s="10">
        <f>IF('Setup'!E11="","",'Setup'!E11)</f>
        <v/>
      </c>
      <c r="H13" s="20">
        <f>IF(G13="","",'Setup'!G11)</f>
        <v/>
      </c>
      <c r="I13" s="20">
        <f>IF(G13="","",SUMIFS($E$7:$E$86,$D$7:$D$86,G13))</f>
        <v/>
      </c>
      <c r="J13" s="20">
        <f>IF(G13="","",H13-I13)</f>
        <v/>
      </c>
      <c r="K13" s="30">
        <f>IF(OR(G13="",H13=0),"",I13/H13)</f>
        <v/>
      </c>
      <c r="L13" s="31">
        <f>IF(K13="","",REPT("█",ROUND(MIN(1,MAX(0,K13))*10,0))&amp;REPT("░",10-ROUND(MIN(1,MAX(0,K13))*10,0)))</f>
        <v/>
      </c>
    </row>
    <row r="14">
      <c r="B14" s="27" t="n"/>
      <c r="C14" s="28" t="n"/>
      <c r="D14" s="15" t="n"/>
      <c r="E14" s="24" t="n"/>
      <c r="G14" s="10">
        <f>IF('Setup'!E12="","",'Setup'!E12)</f>
        <v/>
      </c>
      <c r="H14" s="20">
        <f>IF(G14="","",'Setup'!G12)</f>
        <v/>
      </c>
      <c r="I14" s="20">
        <f>IF(G14="","",SUMIFS($E$7:$E$86,$D$7:$D$86,G14))</f>
        <v/>
      </c>
      <c r="J14" s="20">
        <f>IF(G14="","",H14-I14)</f>
        <v/>
      </c>
      <c r="K14" s="30">
        <f>IF(OR(G14="",H14=0),"",I14/H14)</f>
        <v/>
      </c>
      <c r="L14" s="31">
        <f>IF(K14="","",REPT("█",ROUND(MIN(1,MAX(0,K14))*10,0))&amp;REPT("░",10-ROUND(MIN(1,MAX(0,K14))*10,0)))</f>
        <v/>
      </c>
    </row>
    <row r="15">
      <c r="B15" s="27" t="n"/>
      <c r="C15" s="28" t="n"/>
      <c r="D15" s="15" t="n"/>
      <c r="E15" s="24" t="n"/>
      <c r="G15" s="10">
        <f>IF('Setup'!E13="","",'Setup'!E13)</f>
        <v/>
      </c>
      <c r="H15" s="20">
        <f>IF(G15="","",'Setup'!G13)</f>
        <v/>
      </c>
      <c r="I15" s="20">
        <f>IF(G15="","",SUMIFS($E$7:$E$86,$D$7:$D$86,G15))</f>
        <v/>
      </c>
      <c r="J15" s="20">
        <f>IF(G15="","",H15-I15)</f>
        <v/>
      </c>
      <c r="K15" s="30">
        <f>IF(OR(G15="",H15=0),"",I15/H15)</f>
        <v/>
      </c>
      <c r="L15" s="31">
        <f>IF(K15="","",REPT("█",ROUND(MIN(1,MAX(0,K15))*10,0))&amp;REPT("░",10-ROUND(MIN(1,MAX(0,K15))*10,0)))</f>
        <v/>
      </c>
    </row>
    <row r="16">
      <c r="B16" s="27" t="n"/>
      <c r="C16" s="28" t="n"/>
      <c r="D16" s="15" t="n"/>
      <c r="E16" s="24" t="n"/>
      <c r="G16" s="10">
        <f>IF('Setup'!E14="","",'Setup'!E14)</f>
        <v/>
      </c>
      <c r="H16" s="20">
        <f>IF(G16="","",'Setup'!G14)</f>
        <v/>
      </c>
      <c r="I16" s="20">
        <f>IF(G16="","",SUMIFS($E$7:$E$86,$D$7:$D$86,G16))</f>
        <v/>
      </c>
      <c r="J16" s="20">
        <f>IF(G16="","",H16-I16)</f>
        <v/>
      </c>
      <c r="K16" s="30">
        <f>IF(OR(G16="",H16=0),"",I16/H16)</f>
        <v/>
      </c>
      <c r="L16" s="31">
        <f>IF(K16="","",REPT("█",ROUND(MIN(1,MAX(0,K16))*10,0))&amp;REPT("░",10-ROUND(MIN(1,MAX(0,K16))*10,0)))</f>
        <v/>
      </c>
    </row>
    <row r="17">
      <c r="B17" s="27" t="n"/>
      <c r="C17" s="28" t="n"/>
      <c r="D17" s="15" t="n"/>
      <c r="E17" s="24" t="n"/>
      <c r="G17" s="10">
        <f>IF('Setup'!E15="","",'Setup'!E15)</f>
        <v/>
      </c>
      <c r="H17" s="20">
        <f>IF(G17="","",'Setup'!G15)</f>
        <v/>
      </c>
      <c r="I17" s="20">
        <f>IF(G17="","",SUMIFS($E$7:$E$86,$D$7:$D$86,G17))</f>
        <v/>
      </c>
      <c r="J17" s="20">
        <f>IF(G17="","",H17-I17)</f>
        <v/>
      </c>
      <c r="K17" s="30">
        <f>IF(OR(G17="",H17=0),"",I17/H17)</f>
        <v/>
      </c>
      <c r="L17" s="31">
        <f>IF(K17="","",REPT("█",ROUND(MIN(1,MAX(0,K17))*10,0))&amp;REPT("░",10-ROUND(MIN(1,MAX(0,K17))*10,0)))</f>
        <v/>
      </c>
    </row>
    <row r="18">
      <c r="B18" s="27" t="n"/>
      <c r="C18" s="28" t="n"/>
      <c r="D18" s="15" t="n"/>
      <c r="E18" s="24" t="n"/>
      <c r="G18" s="10">
        <f>IF('Setup'!E16="","",'Setup'!E16)</f>
        <v/>
      </c>
      <c r="H18" s="20">
        <f>IF(G18="","",'Setup'!G16)</f>
        <v/>
      </c>
      <c r="I18" s="20">
        <f>IF(G18="","",SUMIFS($E$7:$E$86,$D$7:$D$86,G18))</f>
        <v/>
      </c>
      <c r="J18" s="20">
        <f>IF(G18="","",H18-I18)</f>
        <v/>
      </c>
      <c r="K18" s="30">
        <f>IF(OR(G18="",H18=0),"",I18/H18)</f>
        <v/>
      </c>
      <c r="L18" s="31">
        <f>IF(K18="","",REPT("█",ROUND(MIN(1,MAX(0,K18))*10,0))&amp;REPT("░",10-ROUND(MIN(1,MAX(0,K18))*10,0)))</f>
        <v/>
      </c>
    </row>
    <row r="19">
      <c r="B19" s="27" t="n"/>
      <c r="C19" s="28" t="n"/>
      <c r="D19" s="15" t="n"/>
      <c r="E19" s="24" t="n"/>
      <c r="G19" s="10">
        <f>IF('Setup'!E17="","",'Setup'!E17)</f>
        <v/>
      </c>
      <c r="H19" s="20">
        <f>IF(G19="","",'Setup'!G17)</f>
        <v/>
      </c>
      <c r="I19" s="20">
        <f>IF(G19="","",SUMIFS($E$7:$E$86,$D$7:$D$86,G19))</f>
        <v/>
      </c>
      <c r="J19" s="20">
        <f>IF(G19="","",H19-I19)</f>
        <v/>
      </c>
      <c r="K19" s="30">
        <f>IF(OR(G19="",H19=0),"",I19/H19)</f>
        <v/>
      </c>
      <c r="L19" s="31">
        <f>IF(K19="","",REPT("█",ROUND(MIN(1,MAX(0,K19))*10,0))&amp;REPT("░",10-ROUND(MIN(1,MAX(0,K19))*10,0)))</f>
        <v/>
      </c>
    </row>
    <row r="20">
      <c r="B20" s="27" t="n"/>
      <c r="C20" s="28" t="n"/>
      <c r="D20" s="15" t="n"/>
      <c r="E20" s="24" t="n"/>
      <c r="G20" s="10">
        <f>IF('Setup'!E18="","",'Setup'!E18)</f>
        <v/>
      </c>
      <c r="H20" s="20">
        <f>IF(G20="","",'Setup'!G18)</f>
        <v/>
      </c>
      <c r="I20" s="20">
        <f>IF(G20="","",SUMIFS($E$7:$E$86,$D$7:$D$86,G20))</f>
        <v/>
      </c>
      <c r="J20" s="20">
        <f>IF(G20="","",H20-I20)</f>
        <v/>
      </c>
      <c r="K20" s="30">
        <f>IF(OR(G20="",H20=0),"",I20/H20)</f>
        <v/>
      </c>
      <c r="L20" s="31">
        <f>IF(K20="","",REPT("█",ROUND(MIN(1,MAX(0,K20))*10,0))&amp;REPT("░",10-ROUND(MIN(1,MAX(0,K20))*10,0)))</f>
        <v/>
      </c>
    </row>
    <row r="21">
      <c r="B21" s="27" t="n"/>
      <c r="C21" s="28" t="n"/>
      <c r="D21" s="15" t="n"/>
      <c r="E21" s="24" t="n"/>
      <c r="G21" s="10">
        <f>IF('Setup'!E19="","",'Setup'!E19)</f>
        <v/>
      </c>
      <c r="H21" s="20">
        <f>IF(G21="","",'Setup'!G19)</f>
        <v/>
      </c>
      <c r="I21" s="20">
        <f>IF(G21="","",SUMIFS($E$7:$E$86,$D$7:$D$86,G21))</f>
        <v/>
      </c>
      <c r="J21" s="20">
        <f>IF(G21="","",H21-I21)</f>
        <v/>
      </c>
      <c r="K21" s="30">
        <f>IF(OR(G21="",H21=0),"",I21/H21)</f>
        <v/>
      </c>
      <c r="L21" s="31">
        <f>IF(K21="","",REPT("█",ROUND(MIN(1,MAX(0,K21))*10,0))&amp;REPT("░",10-ROUND(MIN(1,MAX(0,K21))*10,0)))</f>
        <v/>
      </c>
    </row>
    <row r="22">
      <c r="B22" s="27" t="n"/>
      <c r="C22" s="28" t="n"/>
      <c r="D22" s="15" t="n"/>
      <c r="E22" s="24" t="n"/>
      <c r="G22" s="10">
        <f>IF('Setup'!E20="","",'Setup'!E20)</f>
        <v/>
      </c>
      <c r="H22" s="20">
        <f>IF(G22="","",'Setup'!G20)</f>
        <v/>
      </c>
      <c r="I22" s="20">
        <f>IF(G22="","",SUMIFS($E$7:$E$86,$D$7:$D$86,G22))</f>
        <v/>
      </c>
      <c r="J22" s="20">
        <f>IF(G22="","",H22-I22)</f>
        <v/>
      </c>
      <c r="K22" s="30">
        <f>IF(OR(G22="",H22=0),"",I22/H22)</f>
        <v/>
      </c>
      <c r="L22" s="31">
        <f>IF(K22="","",REPT("█",ROUND(MIN(1,MAX(0,K22))*10,0))&amp;REPT("░",10-ROUND(MIN(1,MAX(0,K22))*10,0)))</f>
        <v/>
      </c>
    </row>
    <row r="23">
      <c r="B23" s="27" t="n"/>
      <c r="C23" s="28" t="n"/>
      <c r="D23" s="15" t="n"/>
      <c r="E23" s="24" t="n"/>
      <c r="G23" s="10">
        <f>IF('Setup'!E21="","",'Setup'!E21)</f>
        <v/>
      </c>
      <c r="H23" s="20">
        <f>IF(G23="","",'Setup'!G21)</f>
        <v/>
      </c>
      <c r="I23" s="20">
        <f>IF(G23="","",SUMIFS($E$7:$E$86,$D$7:$D$86,G23))</f>
        <v/>
      </c>
      <c r="J23" s="20">
        <f>IF(G23="","",H23-I23)</f>
        <v/>
      </c>
      <c r="K23" s="30">
        <f>IF(OR(G23="",H23=0),"",I23/H23)</f>
        <v/>
      </c>
      <c r="L23" s="31">
        <f>IF(K23="","",REPT("█",ROUND(MIN(1,MAX(0,K23))*10,0))&amp;REPT("░",10-ROUND(MIN(1,MAX(0,K23))*10,0)))</f>
        <v/>
      </c>
    </row>
    <row r="24">
      <c r="B24" s="27" t="n"/>
      <c r="C24" s="28" t="n"/>
      <c r="D24" s="15" t="n"/>
      <c r="E24" s="24" t="n"/>
      <c r="G24" s="10">
        <f>IF('Setup'!E22="","",'Setup'!E22)</f>
        <v/>
      </c>
      <c r="H24" s="20">
        <f>IF(G24="","",'Setup'!G22)</f>
        <v/>
      </c>
      <c r="I24" s="20">
        <f>IF(G24="","",SUMIFS($E$7:$E$86,$D$7:$D$86,G24))</f>
        <v/>
      </c>
      <c r="J24" s="20">
        <f>IF(G24="","",H24-I24)</f>
        <v/>
      </c>
      <c r="K24" s="30">
        <f>IF(OR(G24="",H24=0),"",I24/H24)</f>
        <v/>
      </c>
      <c r="L24" s="31">
        <f>IF(K24="","",REPT("█",ROUND(MIN(1,MAX(0,K24))*10,0))&amp;REPT("░",10-ROUND(MIN(1,MAX(0,K24))*10,0)))</f>
        <v/>
      </c>
    </row>
    <row r="25">
      <c r="B25" s="27" t="n"/>
      <c r="C25" s="28" t="n"/>
      <c r="D25" s="15" t="n"/>
      <c r="E25" s="24" t="n"/>
      <c r="G25" s="10">
        <f>IF('Setup'!E23="","",'Setup'!E23)</f>
        <v/>
      </c>
      <c r="H25" s="20">
        <f>IF(G25="","",'Setup'!G23)</f>
        <v/>
      </c>
      <c r="I25" s="20">
        <f>IF(G25="","",SUMIFS($E$7:$E$86,$D$7:$D$86,G25))</f>
        <v/>
      </c>
      <c r="J25" s="20">
        <f>IF(G25="","",H25-I25)</f>
        <v/>
      </c>
      <c r="K25" s="30">
        <f>IF(OR(G25="",H25=0),"",I25/H25)</f>
        <v/>
      </c>
      <c r="L25" s="31">
        <f>IF(K25="","",REPT("█",ROUND(MIN(1,MAX(0,K25))*10,0))&amp;REPT("░",10-ROUND(MIN(1,MAX(0,K25))*10,0)))</f>
        <v/>
      </c>
    </row>
    <row r="26">
      <c r="B26" s="27" t="n"/>
      <c r="C26" s="28" t="n"/>
      <c r="D26" s="15" t="n"/>
      <c r="E26" s="24" t="n"/>
      <c r="G26" s="10">
        <f>IF('Setup'!E24="","",'Setup'!E24)</f>
        <v/>
      </c>
      <c r="H26" s="20">
        <f>IF(G26="","",'Setup'!G24)</f>
        <v/>
      </c>
      <c r="I26" s="20">
        <f>IF(G26="","",SUMIFS($E$7:$E$86,$D$7:$D$86,G26))</f>
        <v/>
      </c>
      <c r="J26" s="20">
        <f>IF(G26="","",H26-I26)</f>
        <v/>
      </c>
      <c r="K26" s="30">
        <f>IF(OR(G26="",H26=0),"",I26/H26)</f>
        <v/>
      </c>
      <c r="L26" s="31">
        <f>IF(K26="","",REPT("█",ROUND(MIN(1,MAX(0,K26))*10,0))&amp;REPT("░",10-ROUND(MIN(1,MAX(0,K26))*10,0)))</f>
        <v/>
      </c>
    </row>
    <row r="27">
      <c r="B27" s="27" t="n"/>
      <c r="C27" s="28" t="n"/>
      <c r="D27" s="15" t="n"/>
      <c r="E27" s="24" t="n"/>
      <c r="G27" s="10">
        <f>IF('Setup'!E25="","",'Setup'!E25)</f>
        <v/>
      </c>
      <c r="H27" s="20">
        <f>IF(G27="","",'Setup'!G25)</f>
        <v/>
      </c>
      <c r="I27" s="20">
        <f>IF(G27="","",SUMIFS($E$7:$E$86,$D$7:$D$86,G27))</f>
        <v/>
      </c>
      <c r="J27" s="20">
        <f>IF(G27="","",H27-I27)</f>
        <v/>
      </c>
      <c r="K27" s="30">
        <f>IF(OR(G27="",H27=0),"",I27/H27)</f>
        <v/>
      </c>
      <c r="L27" s="31">
        <f>IF(K27="","",REPT("█",ROUND(MIN(1,MAX(0,K27))*10,0))&amp;REPT("░",10-ROUND(MIN(1,MAX(0,K27))*10,0)))</f>
        <v/>
      </c>
    </row>
    <row r="28">
      <c r="B28" s="27" t="n"/>
      <c r="C28" s="28" t="n"/>
      <c r="D28" s="15" t="n"/>
      <c r="E28" s="24" t="n"/>
      <c r="G28" s="10">
        <f>IF('Setup'!E26="","",'Setup'!E26)</f>
        <v/>
      </c>
      <c r="H28" s="20">
        <f>IF(G28="","",'Setup'!G26)</f>
        <v/>
      </c>
      <c r="I28" s="20">
        <f>IF(G28="","",SUMIFS($E$7:$E$86,$D$7:$D$86,G28))</f>
        <v/>
      </c>
      <c r="J28" s="20">
        <f>IF(G28="","",H28-I28)</f>
        <v/>
      </c>
      <c r="K28" s="30">
        <f>IF(OR(G28="",H28=0),"",I28/H28)</f>
        <v/>
      </c>
      <c r="L28" s="31">
        <f>IF(K28="","",REPT("█",ROUND(MIN(1,MAX(0,K28))*10,0))&amp;REPT("░",10-ROUND(MIN(1,MAX(0,K28))*10,0)))</f>
        <v/>
      </c>
    </row>
    <row r="29">
      <c r="B29" s="27" t="n"/>
      <c r="C29" s="28" t="n"/>
      <c r="D29" s="15" t="n"/>
      <c r="E29" s="24" t="n"/>
      <c r="G29" s="10">
        <f>IF('Setup'!E27="","",'Setup'!E27)</f>
        <v/>
      </c>
      <c r="H29" s="20">
        <f>IF(G29="","",'Setup'!G27)</f>
        <v/>
      </c>
      <c r="I29" s="20">
        <f>IF(G29="","",SUMIFS($E$7:$E$86,$D$7:$D$86,G29))</f>
        <v/>
      </c>
      <c r="J29" s="20">
        <f>IF(G29="","",H29-I29)</f>
        <v/>
      </c>
      <c r="K29" s="30">
        <f>IF(OR(G29="",H29=0),"",I29/H29)</f>
        <v/>
      </c>
      <c r="L29" s="31">
        <f>IF(K29="","",REPT("█",ROUND(MIN(1,MAX(0,K29))*10,0))&amp;REPT("░",10-ROUND(MIN(1,MAX(0,K29))*10,0)))</f>
        <v/>
      </c>
    </row>
    <row r="30">
      <c r="B30" s="27" t="n"/>
      <c r="C30" s="28" t="n"/>
      <c r="D30" s="15" t="n"/>
      <c r="E30" s="24" t="n"/>
      <c r="G30" s="10">
        <f>IF('Setup'!E28="","",'Setup'!E28)</f>
        <v/>
      </c>
      <c r="H30" s="20">
        <f>IF(G30="","",'Setup'!G28)</f>
        <v/>
      </c>
      <c r="I30" s="20">
        <f>IF(G30="","",SUMIFS($E$7:$E$86,$D$7:$D$86,G30))</f>
        <v/>
      </c>
      <c r="J30" s="20">
        <f>IF(G30="","",H30-I30)</f>
        <v/>
      </c>
      <c r="K30" s="30">
        <f>IF(OR(G30="",H30=0),"",I30/H30)</f>
        <v/>
      </c>
      <c r="L30" s="31">
        <f>IF(K30="","",REPT("█",ROUND(MIN(1,MAX(0,K30))*10,0))&amp;REPT("░",10-ROUND(MIN(1,MAX(0,K30))*10,0)))</f>
        <v/>
      </c>
    </row>
    <row r="31">
      <c r="B31" s="27" t="n"/>
      <c r="C31" s="28" t="n"/>
      <c r="D31" s="15" t="n"/>
      <c r="E31" s="24" t="n"/>
      <c r="G31" s="10">
        <f>IF('Setup'!E29="","",'Setup'!E29)</f>
        <v/>
      </c>
      <c r="H31" s="20">
        <f>IF(G31="","",'Setup'!G29)</f>
        <v/>
      </c>
      <c r="I31" s="20">
        <f>IF(G31="","",SUMIFS($E$7:$E$86,$D$7:$D$86,G31))</f>
        <v/>
      </c>
      <c r="J31" s="20">
        <f>IF(G31="","",H31-I31)</f>
        <v/>
      </c>
      <c r="K31" s="30">
        <f>IF(OR(G31="",H31=0),"",I31/H31)</f>
        <v/>
      </c>
      <c r="L31" s="31">
        <f>IF(K31="","",REPT("█",ROUND(MIN(1,MAX(0,K31))*10,0))&amp;REPT("░",10-ROUND(MIN(1,MAX(0,K31))*10,0)))</f>
        <v/>
      </c>
    </row>
    <row r="32">
      <c r="B32" s="27" t="n"/>
      <c r="C32" s="28" t="n"/>
      <c r="D32" s="15" t="n"/>
      <c r="E32" s="24" t="n"/>
      <c r="G32" s="10">
        <f>IF('Setup'!E30="","",'Setup'!E30)</f>
        <v/>
      </c>
      <c r="H32" s="20">
        <f>IF(G32="","",'Setup'!G30)</f>
        <v/>
      </c>
      <c r="I32" s="20">
        <f>IF(G32="","",SUMIFS($E$7:$E$86,$D$7:$D$86,G32))</f>
        <v/>
      </c>
      <c r="J32" s="20">
        <f>IF(G32="","",H32-I32)</f>
        <v/>
      </c>
      <c r="K32" s="30">
        <f>IF(OR(G32="",H32=0),"",I32/H32)</f>
        <v/>
      </c>
      <c r="L32" s="31">
        <f>IF(K32="","",REPT("█",ROUND(MIN(1,MAX(0,K32))*10,0))&amp;REPT("░",10-ROUND(MIN(1,MAX(0,K32))*10,0)))</f>
        <v/>
      </c>
    </row>
    <row r="33">
      <c r="B33" s="27" t="n"/>
      <c r="C33" s="28" t="n"/>
      <c r="D33" s="15" t="n"/>
      <c r="E33" s="24" t="n"/>
      <c r="G33" s="10">
        <f>IF('Setup'!E31="","",'Setup'!E31)</f>
        <v/>
      </c>
      <c r="H33" s="20">
        <f>IF(G33="","",'Setup'!G31)</f>
        <v/>
      </c>
      <c r="I33" s="20">
        <f>IF(G33="","",SUMIFS($E$7:$E$86,$D$7:$D$86,G33))</f>
        <v/>
      </c>
      <c r="J33" s="20">
        <f>IF(G33="","",H33-I33)</f>
        <v/>
      </c>
      <c r="K33" s="30">
        <f>IF(OR(G33="",H33=0),"",I33/H33)</f>
        <v/>
      </c>
      <c r="L33" s="31">
        <f>IF(K33="","",REPT("█",ROUND(MIN(1,MAX(0,K33))*10,0))&amp;REPT("░",10-ROUND(MIN(1,MAX(0,K33))*10,0)))</f>
        <v/>
      </c>
    </row>
    <row r="34">
      <c r="B34" s="27" t="n"/>
      <c r="C34" s="28" t="n"/>
      <c r="D34" s="15" t="n"/>
      <c r="E34" s="24" t="n"/>
      <c r="G34" s="10">
        <f>IF('Setup'!E32="","",'Setup'!E32)</f>
        <v/>
      </c>
      <c r="H34" s="20">
        <f>IF(G34="","",'Setup'!G32)</f>
        <v/>
      </c>
      <c r="I34" s="20">
        <f>IF(G34="","",SUMIFS($E$7:$E$86,$D$7:$D$86,G34))</f>
        <v/>
      </c>
      <c r="J34" s="20">
        <f>IF(G34="","",H34-I34)</f>
        <v/>
      </c>
      <c r="K34" s="30">
        <f>IF(OR(G34="",H34=0),"",I34/H34)</f>
        <v/>
      </c>
      <c r="L34" s="31">
        <f>IF(K34="","",REPT("█",ROUND(MIN(1,MAX(0,K34))*10,0))&amp;REPT("░",10-ROUND(MIN(1,MAX(0,K34))*10,0)))</f>
        <v/>
      </c>
    </row>
    <row r="35">
      <c r="B35" s="27" t="n"/>
      <c r="C35" s="28" t="n"/>
      <c r="D35" s="15" t="n"/>
      <c r="E35" s="24" t="n"/>
      <c r="G35" s="10">
        <f>IF('Setup'!E33="","",'Setup'!E33)</f>
        <v/>
      </c>
      <c r="H35" s="20">
        <f>IF(G35="","",'Setup'!G33)</f>
        <v/>
      </c>
      <c r="I35" s="20">
        <f>IF(G35="","",SUMIFS($E$7:$E$86,$D$7:$D$86,G35))</f>
        <v/>
      </c>
      <c r="J35" s="20">
        <f>IF(G35="","",H35-I35)</f>
        <v/>
      </c>
      <c r="K35" s="30">
        <f>IF(OR(G35="",H35=0),"",I35/H35)</f>
        <v/>
      </c>
      <c r="L35" s="31">
        <f>IF(K35="","",REPT("█",ROUND(MIN(1,MAX(0,K35))*10,0))&amp;REPT("░",10-ROUND(MIN(1,MAX(0,K35))*10,0)))</f>
        <v/>
      </c>
    </row>
    <row r="36">
      <c r="B36" s="27" t="n"/>
      <c r="C36" s="28" t="n"/>
      <c r="D36" s="15" t="n"/>
      <c r="E36" s="24" t="n"/>
      <c r="G36" s="10">
        <f>IF('Setup'!E34="","",'Setup'!E34)</f>
        <v/>
      </c>
      <c r="H36" s="20">
        <f>IF(G36="","",'Setup'!G34)</f>
        <v/>
      </c>
      <c r="I36" s="20">
        <f>IF(G36="","",SUMIFS($E$7:$E$86,$D$7:$D$86,G36))</f>
        <v/>
      </c>
      <c r="J36" s="20">
        <f>IF(G36="","",H36-I36)</f>
        <v/>
      </c>
      <c r="K36" s="30">
        <f>IF(OR(G36="",H36=0),"",I36/H36)</f>
        <v/>
      </c>
      <c r="L36" s="31">
        <f>IF(K36="","",REPT("█",ROUND(MIN(1,MAX(0,K36))*10,0))&amp;REPT("░",10-ROUND(MIN(1,MAX(0,K36))*10,0)))</f>
        <v/>
      </c>
    </row>
    <row r="37">
      <c r="B37" s="27" t="n"/>
      <c r="C37" s="28" t="n"/>
      <c r="D37" s="15" t="n"/>
      <c r="E37" s="24" t="n"/>
      <c r="G37" s="10">
        <f>IF('Setup'!E35="","",'Setup'!E35)</f>
        <v/>
      </c>
      <c r="H37" s="20">
        <f>IF(G37="","",'Setup'!G35)</f>
        <v/>
      </c>
      <c r="I37" s="20">
        <f>IF(G37="","",SUMIFS($E$7:$E$86,$D$7:$D$86,G37))</f>
        <v/>
      </c>
      <c r="J37" s="20">
        <f>IF(G37="","",H37-I37)</f>
        <v/>
      </c>
      <c r="K37" s="30">
        <f>IF(OR(G37="",H37=0),"",I37/H37)</f>
        <v/>
      </c>
      <c r="L37" s="31">
        <f>IF(K37="","",REPT("█",ROUND(MIN(1,MAX(0,K37))*10,0))&amp;REPT("░",10-ROUND(MIN(1,MAX(0,K37))*10,0)))</f>
        <v/>
      </c>
    </row>
    <row r="38">
      <c r="B38" s="27" t="n"/>
      <c r="C38" s="28" t="n"/>
      <c r="D38" s="15" t="n"/>
      <c r="E38" s="24" t="n"/>
      <c r="G38" s="10">
        <f>IF('Setup'!E36="","",'Setup'!E36)</f>
        <v/>
      </c>
      <c r="H38" s="20">
        <f>IF(G38="","",'Setup'!G36)</f>
        <v/>
      </c>
      <c r="I38" s="20">
        <f>IF(G38="","",SUMIFS($E$7:$E$86,$D$7:$D$86,G38))</f>
        <v/>
      </c>
      <c r="J38" s="20">
        <f>IF(G38="","",H38-I38)</f>
        <v/>
      </c>
      <c r="K38" s="30">
        <f>IF(OR(G38="",H38=0),"",I38/H38)</f>
        <v/>
      </c>
      <c r="L38" s="31">
        <f>IF(K38="","",REPT("█",ROUND(MIN(1,MAX(0,K38))*10,0))&amp;REPT("░",10-ROUND(MIN(1,MAX(0,K38))*10,0)))</f>
        <v/>
      </c>
    </row>
    <row r="39">
      <c r="B39" s="27" t="n"/>
      <c r="C39" s="28" t="n"/>
      <c r="D39" s="15" t="n"/>
      <c r="E39" s="24" t="n"/>
      <c r="G39" s="10">
        <f>IF('Setup'!E37="","",'Setup'!E37)</f>
        <v/>
      </c>
      <c r="H39" s="20">
        <f>IF(G39="","",'Setup'!G37)</f>
        <v/>
      </c>
      <c r="I39" s="20">
        <f>IF(G39="","",SUMIFS($E$7:$E$86,$D$7:$D$86,G39))</f>
        <v/>
      </c>
      <c r="J39" s="20">
        <f>IF(G39="","",H39-I39)</f>
        <v/>
      </c>
      <c r="K39" s="30">
        <f>IF(OR(G39="",H39=0),"",I39/H39)</f>
        <v/>
      </c>
      <c r="L39" s="31">
        <f>IF(K39="","",REPT("█",ROUND(MIN(1,MAX(0,K39))*10,0))&amp;REPT("░",10-ROUND(MIN(1,MAX(0,K39))*10,0)))</f>
        <v/>
      </c>
    </row>
    <row r="40">
      <c r="B40" s="27" t="n"/>
      <c r="C40" s="28" t="n"/>
      <c r="D40" s="15" t="n"/>
      <c r="E40" s="24" t="n"/>
      <c r="G40" s="10">
        <f>IF('Setup'!E38="","",'Setup'!E38)</f>
        <v/>
      </c>
      <c r="H40" s="20">
        <f>IF(G40="","",'Setup'!G38)</f>
        <v/>
      </c>
      <c r="I40" s="20">
        <f>IF(G40="","",SUMIFS($E$7:$E$86,$D$7:$D$86,G40))</f>
        <v/>
      </c>
      <c r="J40" s="20">
        <f>IF(G40="","",H40-I40)</f>
        <v/>
      </c>
      <c r="K40" s="30">
        <f>IF(OR(G40="",H40=0),"",I40/H40)</f>
        <v/>
      </c>
      <c r="L40" s="31">
        <f>IF(K40="","",REPT("█",ROUND(MIN(1,MAX(0,K40))*10,0))&amp;REPT("░",10-ROUND(MIN(1,MAX(0,K40))*10,0)))</f>
        <v/>
      </c>
    </row>
    <row r="41">
      <c r="B41" s="27" t="n"/>
      <c r="C41" s="28" t="n"/>
      <c r="D41" s="15" t="n"/>
      <c r="E41" s="24" t="n"/>
      <c r="G41" s="10">
        <f>IF('Setup'!E39="","",'Setup'!E39)</f>
        <v/>
      </c>
      <c r="H41" s="20">
        <f>IF(G41="","",'Setup'!G39)</f>
        <v/>
      </c>
      <c r="I41" s="20">
        <f>IF(G41="","",SUMIFS($E$7:$E$86,$D$7:$D$86,G41))</f>
        <v/>
      </c>
      <c r="J41" s="20">
        <f>IF(G41="","",H41-I41)</f>
        <v/>
      </c>
      <c r="K41" s="30">
        <f>IF(OR(G41="",H41=0),"",I41/H41)</f>
        <v/>
      </c>
      <c r="L41" s="31">
        <f>IF(K41="","",REPT("█",ROUND(MIN(1,MAX(0,K41))*10,0))&amp;REPT("░",10-ROUND(MIN(1,MAX(0,K41))*10,0)))</f>
        <v/>
      </c>
    </row>
    <row r="42">
      <c r="B42" s="27" t="n"/>
      <c r="C42" s="28" t="n"/>
      <c r="D42" s="15" t="n"/>
      <c r="E42" s="24" t="n"/>
    </row>
    <row r="43">
      <c r="B43" s="27" t="n"/>
      <c r="C43" s="28" t="n"/>
      <c r="D43" s="15" t="n"/>
      <c r="E43" s="24" t="n"/>
    </row>
    <row r="44">
      <c r="B44" s="27" t="n"/>
      <c r="C44" s="28" t="n"/>
      <c r="D44" s="15" t="n"/>
      <c r="E44" s="24" t="n"/>
    </row>
    <row r="45">
      <c r="B45" s="27" t="n"/>
      <c r="C45" s="28" t="n"/>
      <c r="D45" s="15" t="n"/>
      <c r="E45" s="24" t="n"/>
    </row>
    <row r="46">
      <c r="B46" s="27" t="n"/>
      <c r="C46" s="28" t="n"/>
      <c r="D46" s="15" t="n"/>
      <c r="E46" s="24" t="n"/>
    </row>
    <row r="47">
      <c r="B47" s="27" t="n"/>
      <c r="C47" s="28" t="n"/>
      <c r="D47" s="15" t="n"/>
      <c r="E47" s="24" t="n"/>
    </row>
    <row r="48">
      <c r="B48" s="27" t="n"/>
      <c r="C48" s="28" t="n"/>
      <c r="D48" s="15" t="n"/>
      <c r="E48" s="24" t="n"/>
    </row>
    <row r="49">
      <c r="B49" s="27" t="n"/>
      <c r="C49" s="28" t="n"/>
      <c r="D49" s="15" t="n"/>
      <c r="E49" s="24" t="n"/>
    </row>
    <row r="50">
      <c r="B50" s="27" t="n"/>
      <c r="C50" s="28" t="n"/>
      <c r="D50" s="15" t="n"/>
      <c r="E50" s="24" t="n"/>
    </row>
    <row r="51">
      <c r="B51" s="27" t="n"/>
      <c r="C51" s="28" t="n"/>
      <c r="D51" s="15" t="n"/>
      <c r="E51" s="24" t="n"/>
    </row>
    <row r="52">
      <c r="B52" s="27" t="n"/>
      <c r="C52" s="28" t="n"/>
      <c r="D52" s="15" t="n"/>
      <c r="E52" s="24" t="n"/>
    </row>
    <row r="53">
      <c r="B53" s="27" t="n"/>
      <c r="C53" s="28" t="n"/>
      <c r="D53" s="15" t="n"/>
      <c r="E53" s="24" t="n"/>
    </row>
    <row r="54">
      <c r="B54" s="27" t="n"/>
      <c r="C54" s="28" t="n"/>
      <c r="D54" s="15" t="n"/>
      <c r="E54" s="24" t="n"/>
    </row>
    <row r="55">
      <c r="B55" s="27" t="n"/>
      <c r="C55" s="28" t="n"/>
      <c r="D55" s="15" t="n"/>
      <c r="E55" s="24" t="n"/>
    </row>
    <row r="56">
      <c r="B56" s="27" t="n"/>
      <c r="C56" s="28" t="n"/>
      <c r="D56" s="15" t="n"/>
      <c r="E56" s="24" t="n"/>
    </row>
    <row r="57">
      <c r="B57" s="27" t="n"/>
      <c r="C57" s="28" t="n"/>
      <c r="D57" s="15" t="n"/>
      <c r="E57" s="24" t="n"/>
    </row>
    <row r="58">
      <c r="B58" s="27" t="n"/>
      <c r="C58" s="28" t="n"/>
      <c r="D58" s="15" t="n"/>
      <c r="E58" s="24" t="n"/>
    </row>
    <row r="59">
      <c r="B59" s="27" t="n"/>
      <c r="C59" s="28" t="n"/>
      <c r="D59" s="15" t="n"/>
      <c r="E59" s="24" t="n"/>
    </row>
    <row r="60">
      <c r="B60" s="27" t="n"/>
      <c r="C60" s="28" t="n"/>
      <c r="D60" s="15" t="n"/>
      <c r="E60" s="24" t="n"/>
    </row>
    <row r="61">
      <c r="B61" s="27" t="n"/>
      <c r="C61" s="28" t="n"/>
      <c r="D61" s="15" t="n"/>
      <c r="E61" s="24" t="n"/>
    </row>
    <row r="62">
      <c r="B62" s="27" t="n"/>
      <c r="C62" s="28" t="n"/>
      <c r="D62" s="15" t="n"/>
      <c r="E62" s="24" t="n"/>
    </row>
    <row r="63">
      <c r="B63" s="27" t="n"/>
      <c r="C63" s="28" t="n"/>
      <c r="D63" s="15" t="n"/>
      <c r="E63" s="24" t="n"/>
    </row>
    <row r="64">
      <c r="B64" s="27" t="n"/>
      <c r="C64" s="28" t="n"/>
      <c r="D64" s="15" t="n"/>
      <c r="E64" s="24" t="n"/>
    </row>
    <row r="65">
      <c r="B65" s="27" t="n"/>
      <c r="C65" s="28" t="n"/>
      <c r="D65" s="15" t="n"/>
      <c r="E65" s="24" t="n"/>
    </row>
    <row r="66">
      <c r="B66" s="27" t="n"/>
      <c r="C66" s="28" t="n"/>
      <c r="D66" s="15" t="n"/>
      <c r="E66" s="24" t="n"/>
    </row>
    <row r="67">
      <c r="B67" s="27" t="n"/>
      <c r="C67" s="28" t="n"/>
      <c r="D67" s="15" t="n"/>
      <c r="E67" s="24" t="n"/>
    </row>
    <row r="68">
      <c r="B68" s="27" t="n"/>
      <c r="C68" s="28" t="n"/>
      <c r="D68" s="15" t="n"/>
      <c r="E68" s="24" t="n"/>
    </row>
    <row r="69">
      <c r="B69" s="27" t="n"/>
      <c r="C69" s="28" t="n"/>
      <c r="D69" s="15" t="n"/>
      <c r="E69" s="24" t="n"/>
    </row>
    <row r="70">
      <c r="B70" s="27" t="n"/>
      <c r="C70" s="28" t="n"/>
      <c r="D70" s="15" t="n"/>
      <c r="E70" s="24" t="n"/>
    </row>
    <row r="71">
      <c r="B71" s="27" t="n"/>
      <c r="C71" s="28" t="n"/>
      <c r="D71" s="15" t="n"/>
      <c r="E71" s="24" t="n"/>
    </row>
    <row r="72">
      <c r="B72" s="27" t="n"/>
      <c r="C72" s="28" t="n"/>
      <c r="D72" s="15" t="n"/>
      <c r="E72" s="24" t="n"/>
    </row>
    <row r="73">
      <c r="B73" s="27" t="n"/>
      <c r="C73" s="28" t="n"/>
      <c r="D73" s="15" t="n"/>
      <c r="E73" s="24" t="n"/>
    </row>
    <row r="74">
      <c r="B74" s="27" t="n"/>
      <c r="C74" s="28" t="n"/>
      <c r="D74" s="15" t="n"/>
      <c r="E74" s="24" t="n"/>
    </row>
    <row r="75">
      <c r="B75" s="27" t="n"/>
      <c r="C75" s="28" t="n"/>
      <c r="D75" s="15" t="n"/>
      <c r="E75" s="24" t="n"/>
    </row>
    <row r="76">
      <c r="B76" s="27" t="n"/>
      <c r="C76" s="28" t="n"/>
      <c r="D76" s="15" t="n"/>
      <c r="E76" s="24" t="n"/>
    </row>
    <row r="77">
      <c r="B77" s="27" t="n"/>
      <c r="C77" s="28" t="n"/>
      <c r="D77" s="15" t="n"/>
      <c r="E77" s="24" t="n"/>
    </row>
    <row r="78">
      <c r="B78" s="27" t="n"/>
      <c r="C78" s="28" t="n"/>
      <c r="D78" s="15" t="n"/>
      <c r="E78" s="24" t="n"/>
    </row>
    <row r="79">
      <c r="B79" s="27" t="n"/>
      <c r="C79" s="28" t="n"/>
      <c r="D79" s="15" t="n"/>
      <c r="E79" s="24" t="n"/>
    </row>
    <row r="80">
      <c r="B80" s="27" t="n"/>
      <c r="C80" s="28" t="n"/>
      <c r="D80" s="15" t="n"/>
      <c r="E80" s="24" t="n"/>
    </row>
    <row r="81">
      <c r="B81" s="27" t="n"/>
      <c r="C81" s="28" t="n"/>
      <c r="D81" s="15" t="n"/>
      <c r="E81" s="24" t="n"/>
    </row>
    <row r="82">
      <c r="B82" s="27" t="n"/>
      <c r="C82" s="28" t="n"/>
      <c r="D82" s="15" t="n"/>
      <c r="E82" s="24" t="n"/>
    </row>
    <row r="83">
      <c r="B83" s="27" t="n"/>
      <c r="C83" s="28" t="n"/>
      <c r="D83" s="15" t="n"/>
      <c r="E83" s="24" t="n"/>
    </row>
    <row r="84">
      <c r="B84" s="27" t="n"/>
      <c r="C84" s="28" t="n"/>
      <c r="D84" s="15" t="n"/>
      <c r="E84" s="24" t="n"/>
    </row>
    <row r="85">
      <c r="B85" s="27" t="n"/>
      <c r="C85" s="28" t="n"/>
      <c r="D85" s="15" t="n"/>
      <c r="E85" s="24" t="n"/>
    </row>
    <row r="86">
      <c r="B86" s="27" t="n"/>
      <c r="C86" s="28" t="n"/>
      <c r="D86" s="15" t="n"/>
      <c r="E86" s="24" t="n"/>
    </row>
  </sheetData>
  <sheetProtection selectLockedCells="0" selectUnlockedCells="0" sheet="1" objects="0" insertRows="0" insertHyperlinks="1" autoFilter="0" scenarios="0" formatColumns="0" deleteColumns="1" insertColumns="1" pivotTables="1" deleteRows="1" formatCells="1" formatRows="0" sort="0"/>
  <conditionalFormatting sqref="H8">
    <cfRule type="cellIs" priority="1" operator="lessThan" dxfId="1">
      <formula>0</formula>
    </cfRule>
  </conditionalFormatting>
  <conditionalFormatting sqref="J12:J41">
    <cfRule type="cellIs" priority="2" operator="lessThan" dxfId="1">
      <formula>0</formula>
    </cfRule>
  </conditionalFormatting>
  <conditionalFormatting sqref="L12:L41">
    <cfRule type="expression" priority="3" dxfId="2">
      <formula>K12&gt;1</formula>
    </cfRule>
  </conditionalFormatting>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showDropDown="0" showInputMessage="0" showErrorMessage="0" allowBlank="1" type="list">
      <formula1>=Categories</formula1>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gridLines="0"/>
  <pageMargins left="0.75" right="0.75" top="1" bottom="1" header="0.5" footer="0.5"/>
  <pageSetup orientation="landscape" fitToHeight="1" fitToWidth="1"/>
</worksheet>
</file>

<file path=xl/worksheets/sheet10.xml><?xml version="1.0" encoding="utf-8"?>
<worksheet xmlns="http://schemas.openxmlformats.org/spreadsheetml/2006/main">
  <sheetPr>
    <tabColor rgb="002F6F5E"/>
    <outlinePr summaryBelow="1" summaryRight="1"/>
    <pageSetUpPr fitToPage="1"/>
  </sheetPr>
  <dimension ref="B2:L86"/>
  <sheetViews>
    <sheetView showGridLines="0" workbookViewId="0">
      <pane ySplit="6" topLeftCell="A7" activePane="bottomLeft" state="frozen"/>
      <selection pane="bottomLeft" activeCell="A1" sqref="A1"/>
    </sheetView>
  </sheetViews>
  <sheetFormatPr baseColWidth="8" defaultRowHeight="15"/>
  <cols>
    <col width="3" customWidth="1" min="1" max="1"/>
    <col width="12" customWidth="1" min="2" max="2"/>
    <col width="26" customWidth="1" min="3" max="3"/>
    <col width="22" customWidth="1" min="4" max="4"/>
    <col width="14" customWidth="1" min="5" max="5"/>
    <col width="14" customWidth="1" min="6" max="6"/>
    <col width="22" customWidth="1" min="7" max="7"/>
    <col width="13" customWidth="1" min="8" max="8"/>
    <col width="13" customWidth="1" min="9" max="9"/>
    <col width="13" customWidth="1" min="10" max="10"/>
    <col width="9"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July</t>
        </is>
      </c>
    </row>
    <row r="3">
      <c r="B3" s="2" t="inlineStr">
        <is>
          <t>Log what you spend. The summary on the right updates itself.</t>
        </is>
      </c>
    </row>
    <row r="4">
      <c r="B4" s="3" t="inlineStr">
        <is>
          <t>Start here</t>
        </is>
      </c>
      <c r="D4" s="3" t="inlineStr">
        <is>
          <t>Dashboard</t>
        </is>
      </c>
      <c r="E4" s="3" t="inlineStr">
        <is>
          <t>Setup</t>
        </is>
      </c>
      <c r="F4" s="3" t="inlineStr">
        <is>
          <t>Months</t>
        </is>
      </c>
      <c r="G4" s="3" t="inlineStr">
        <is>
          <t>Bills</t>
        </is>
      </c>
      <c r="H4" s="3" t="inlineStr">
        <is>
          <t>Paycheck</t>
        </is>
      </c>
      <c r="I4" s="3" t="inlineStr">
        <is>
          <t>Debt</t>
        </is>
      </c>
      <c r="J4" s="3" t="inlineStr">
        <is>
          <t>Savings</t>
        </is>
      </c>
    </row>
    <row r="6" ht="22" customHeight="1">
      <c r="B6" s="9" t="inlineStr">
        <is>
          <t>Date</t>
        </is>
      </c>
      <c r="C6" s="9" t="inlineStr">
        <is>
          <t>What</t>
        </is>
      </c>
      <c r="D6" s="9" t="inlineStr">
        <is>
          <t>Category</t>
        </is>
      </c>
      <c r="E6" s="9" t="inlineStr">
        <is>
          <t>Amount</t>
        </is>
      </c>
      <c r="G6" s="17" t="inlineStr">
        <is>
          <t>Income this month</t>
        </is>
      </c>
      <c r="H6" s="25">
        <f>'Setup'!$C$18</f>
        <v/>
      </c>
      <c r="I6" s="26" t="inlineStr">
        <is>
          <t>Type over this if your income was different</t>
        </is>
      </c>
    </row>
    <row r="7">
      <c r="B7" s="27" t="n"/>
      <c r="C7" s="28" t="n"/>
      <c r="D7" s="15" t="n"/>
      <c r="E7" s="24" t="n"/>
      <c r="G7" s="17" t="inlineStr">
        <is>
          <t>Spent</t>
        </is>
      </c>
      <c r="H7" s="29">
        <f>SUM(E7:E86)</f>
        <v/>
      </c>
    </row>
    <row r="8">
      <c r="B8" s="27" t="n"/>
      <c r="C8" s="28" t="n"/>
      <c r="D8" s="15" t="n"/>
      <c r="E8" s="24" t="n"/>
      <c r="G8" s="17" t="inlineStr">
        <is>
          <t>Left over</t>
        </is>
      </c>
      <c r="H8" s="29">
        <f>H6-H7</f>
        <v/>
      </c>
    </row>
    <row r="9">
      <c r="B9" s="27" t="n"/>
      <c r="C9" s="28" t="n"/>
      <c r="D9" s="15" t="n"/>
      <c r="E9" s="24" t="n"/>
      <c r="G9" s="17" t="inlineStr">
        <is>
          <t>Saved and debt paid</t>
        </is>
      </c>
      <c r="H9" s="29">
        <f>SUMPRODUCT(SUMIFS($E$7:$E$86,$D$7:$D$86,'Setup'!$E$10:$E$39)*(('Setup'!$F$10:$F$39="Savings")+('Setup'!$F$10:$F$39="Debt")))</f>
        <v/>
      </c>
    </row>
    <row r="10">
      <c r="B10" s="27" t="n"/>
      <c r="C10" s="28" t="n"/>
      <c r="D10" s="15" t="n"/>
      <c r="E10" s="24" t="n"/>
    </row>
    <row r="11" ht="22" customHeight="1">
      <c r="B11" s="27" t="n"/>
      <c r="C11" s="28" t="n"/>
      <c r="D11" s="15" t="n"/>
      <c r="E11" s="24" t="n"/>
      <c r="G11" s="9" t="inlineStr">
        <is>
          <t>Category</t>
        </is>
      </c>
      <c r="H11" s="9" t="inlineStr">
        <is>
          <t>Budget</t>
        </is>
      </c>
      <c r="I11" s="9" t="inlineStr">
        <is>
          <t>Spent</t>
        </is>
      </c>
      <c r="J11" s="9" t="inlineStr">
        <is>
          <t>Left</t>
        </is>
      </c>
      <c r="K11" s="9" t="inlineStr">
        <is>
          <t>Used</t>
        </is>
      </c>
      <c r="L11" s="9" t="inlineStr"/>
    </row>
    <row r="12">
      <c r="B12" s="27" t="n"/>
      <c r="C12" s="28" t="n"/>
      <c r="D12" s="15" t="n"/>
      <c r="E12" s="24" t="n"/>
      <c r="G12" s="10">
        <f>IF('Setup'!E10="","",'Setup'!E10)</f>
        <v/>
      </c>
      <c r="H12" s="20">
        <f>IF(G12="","",'Setup'!G10)</f>
        <v/>
      </c>
      <c r="I12" s="20">
        <f>IF(G12="","",SUMIFS($E$7:$E$86,$D$7:$D$86,G12))</f>
        <v/>
      </c>
      <c r="J12" s="20">
        <f>IF(G12="","",H12-I12)</f>
        <v/>
      </c>
      <c r="K12" s="30">
        <f>IF(OR(G12="",H12=0),"",I12/H12)</f>
        <v/>
      </c>
      <c r="L12" s="31">
        <f>IF(K12="","",REPT("█",ROUND(MIN(1,MAX(0,K12))*10,0))&amp;REPT("░",10-ROUND(MIN(1,MAX(0,K12))*10,0)))</f>
        <v/>
      </c>
    </row>
    <row r="13">
      <c r="B13" s="27" t="n"/>
      <c r="C13" s="28" t="n"/>
      <c r="D13" s="15" t="n"/>
      <c r="E13" s="24" t="n"/>
      <c r="G13" s="10">
        <f>IF('Setup'!E11="","",'Setup'!E11)</f>
        <v/>
      </c>
      <c r="H13" s="20">
        <f>IF(G13="","",'Setup'!G11)</f>
        <v/>
      </c>
      <c r="I13" s="20">
        <f>IF(G13="","",SUMIFS($E$7:$E$86,$D$7:$D$86,G13))</f>
        <v/>
      </c>
      <c r="J13" s="20">
        <f>IF(G13="","",H13-I13)</f>
        <v/>
      </c>
      <c r="K13" s="30">
        <f>IF(OR(G13="",H13=0),"",I13/H13)</f>
        <v/>
      </c>
      <c r="L13" s="31">
        <f>IF(K13="","",REPT("█",ROUND(MIN(1,MAX(0,K13))*10,0))&amp;REPT("░",10-ROUND(MIN(1,MAX(0,K13))*10,0)))</f>
        <v/>
      </c>
    </row>
    <row r="14">
      <c r="B14" s="27" t="n"/>
      <c r="C14" s="28" t="n"/>
      <c r="D14" s="15" t="n"/>
      <c r="E14" s="24" t="n"/>
      <c r="G14" s="10">
        <f>IF('Setup'!E12="","",'Setup'!E12)</f>
        <v/>
      </c>
      <c r="H14" s="20">
        <f>IF(G14="","",'Setup'!G12)</f>
        <v/>
      </c>
      <c r="I14" s="20">
        <f>IF(G14="","",SUMIFS($E$7:$E$86,$D$7:$D$86,G14))</f>
        <v/>
      </c>
      <c r="J14" s="20">
        <f>IF(G14="","",H14-I14)</f>
        <v/>
      </c>
      <c r="K14" s="30">
        <f>IF(OR(G14="",H14=0),"",I14/H14)</f>
        <v/>
      </c>
      <c r="L14" s="31">
        <f>IF(K14="","",REPT("█",ROUND(MIN(1,MAX(0,K14))*10,0))&amp;REPT("░",10-ROUND(MIN(1,MAX(0,K14))*10,0)))</f>
        <v/>
      </c>
    </row>
    <row r="15">
      <c r="B15" s="27" t="n"/>
      <c r="C15" s="28" t="n"/>
      <c r="D15" s="15" t="n"/>
      <c r="E15" s="24" t="n"/>
      <c r="G15" s="10">
        <f>IF('Setup'!E13="","",'Setup'!E13)</f>
        <v/>
      </c>
      <c r="H15" s="20">
        <f>IF(G15="","",'Setup'!G13)</f>
        <v/>
      </c>
      <c r="I15" s="20">
        <f>IF(G15="","",SUMIFS($E$7:$E$86,$D$7:$D$86,G15))</f>
        <v/>
      </c>
      <c r="J15" s="20">
        <f>IF(G15="","",H15-I15)</f>
        <v/>
      </c>
      <c r="K15" s="30">
        <f>IF(OR(G15="",H15=0),"",I15/H15)</f>
        <v/>
      </c>
      <c r="L15" s="31">
        <f>IF(K15="","",REPT("█",ROUND(MIN(1,MAX(0,K15))*10,0))&amp;REPT("░",10-ROUND(MIN(1,MAX(0,K15))*10,0)))</f>
        <v/>
      </c>
    </row>
    <row r="16">
      <c r="B16" s="27" t="n"/>
      <c r="C16" s="28" t="n"/>
      <c r="D16" s="15" t="n"/>
      <c r="E16" s="24" t="n"/>
      <c r="G16" s="10">
        <f>IF('Setup'!E14="","",'Setup'!E14)</f>
        <v/>
      </c>
      <c r="H16" s="20">
        <f>IF(G16="","",'Setup'!G14)</f>
        <v/>
      </c>
      <c r="I16" s="20">
        <f>IF(G16="","",SUMIFS($E$7:$E$86,$D$7:$D$86,G16))</f>
        <v/>
      </c>
      <c r="J16" s="20">
        <f>IF(G16="","",H16-I16)</f>
        <v/>
      </c>
      <c r="K16" s="30">
        <f>IF(OR(G16="",H16=0),"",I16/H16)</f>
        <v/>
      </c>
      <c r="L16" s="31">
        <f>IF(K16="","",REPT("█",ROUND(MIN(1,MAX(0,K16))*10,0))&amp;REPT("░",10-ROUND(MIN(1,MAX(0,K16))*10,0)))</f>
        <v/>
      </c>
    </row>
    <row r="17">
      <c r="B17" s="27" t="n"/>
      <c r="C17" s="28" t="n"/>
      <c r="D17" s="15" t="n"/>
      <c r="E17" s="24" t="n"/>
      <c r="G17" s="10">
        <f>IF('Setup'!E15="","",'Setup'!E15)</f>
        <v/>
      </c>
      <c r="H17" s="20">
        <f>IF(G17="","",'Setup'!G15)</f>
        <v/>
      </c>
      <c r="I17" s="20">
        <f>IF(G17="","",SUMIFS($E$7:$E$86,$D$7:$D$86,G17))</f>
        <v/>
      </c>
      <c r="J17" s="20">
        <f>IF(G17="","",H17-I17)</f>
        <v/>
      </c>
      <c r="K17" s="30">
        <f>IF(OR(G17="",H17=0),"",I17/H17)</f>
        <v/>
      </c>
      <c r="L17" s="31">
        <f>IF(K17="","",REPT("█",ROUND(MIN(1,MAX(0,K17))*10,0))&amp;REPT("░",10-ROUND(MIN(1,MAX(0,K17))*10,0)))</f>
        <v/>
      </c>
    </row>
    <row r="18">
      <c r="B18" s="27" t="n"/>
      <c r="C18" s="28" t="n"/>
      <c r="D18" s="15" t="n"/>
      <c r="E18" s="24" t="n"/>
      <c r="G18" s="10">
        <f>IF('Setup'!E16="","",'Setup'!E16)</f>
        <v/>
      </c>
      <c r="H18" s="20">
        <f>IF(G18="","",'Setup'!G16)</f>
        <v/>
      </c>
      <c r="I18" s="20">
        <f>IF(G18="","",SUMIFS($E$7:$E$86,$D$7:$D$86,G18))</f>
        <v/>
      </c>
      <c r="J18" s="20">
        <f>IF(G18="","",H18-I18)</f>
        <v/>
      </c>
      <c r="K18" s="30">
        <f>IF(OR(G18="",H18=0),"",I18/H18)</f>
        <v/>
      </c>
      <c r="L18" s="31">
        <f>IF(K18="","",REPT("█",ROUND(MIN(1,MAX(0,K18))*10,0))&amp;REPT("░",10-ROUND(MIN(1,MAX(0,K18))*10,0)))</f>
        <v/>
      </c>
    </row>
    <row r="19">
      <c r="B19" s="27" t="n"/>
      <c r="C19" s="28" t="n"/>
      <c r="D19" s="15" t="n"/>
      <c r="E19" s="24" t="n"/>
      <c r="G19" s="10">
        <f>IF('Setup'!E17="","",'Setup'!E17)</f>
        <v/>
      </c>
      <c r="H19" s="20">
        <f>IF(G19="","",'Setup'!G17)</f>
        <v/>
      </c>
      <c r="I19" s="20">
        <f>IF(G19="","",SUMIFS($E$7:$E$86,$D$7:$D$86,G19))</f>
        <v/>
      </c>
      <c r="J19" s="20">
        <f>IF(G19="","",H19-I19)</f>
        <v/>
      </c>
      <c r="K19" s="30">
        <f>IF(OR(G19="",H19=0),"",I19/H19)</f>
        <v/>
      </c>
      <c r="L19" s="31">
        <f>IF(K19="","",REPT("█",ROUND(MIN(1,MAX(0,K19))*10,0))&amp;REPT("░",10-ROUND(MIN(1,MAX(0,K19))*10,0)))</f>
        <v/>
      </c>
    </row>
    <row r="20">
      <c r="B20" s="27" t="n"/>
      <c r="C20" s="28" t="n"/>
      <c r="D20" s="15" t="n"/>
      <c r="E20" s="24" t="n"/>
      <c r="G20" s="10">
        <f>IF('Setup'!E18="","",'Setup'!E18)</f>
        <v/>
      </c>
      <c r="H20" s="20">
        <f>IF(G20="","",'Setup'!G18)</f>
        <v/>
      </c>
      <c r="I20" s="20">
        <f>IF(G20="","",SUMIFS($E$7:$E$86,$D$7:$D$86,G20))</f>
        <v/>
      </c>
      <c r="J20" s="20">
        <f>IF(G20="","",H20-I20)</f>
        <v/>
      </c>
      <c r="K20" s="30">
        <f>IF(OR(G20="",H20=0),"",I20/H20)</f>
        <v/>
      </c>
      <c r="L20" s="31">
        <f>IF(K20="","",REPT("█",ROUND(MIN(1,MAX(0,K20))*10,0))&amp;REPT("░",10-ROUND(MIN(1,MAX(0,K20))*10,0)))</f>
        <v/>
      </c>
    </row>
    <row r="21">
      <c r="B21" s="27" t="n"/>
      <c r="C21" s="28" t="n"/>
      <c r="D21" s="15" t="n"/>
      <c r="E21" s="24" t="n"/>
      <c r="G21" s="10">
        <f>IF('Setup'!E19="","",'Setup'!E19)</f>
        <v/>
      </c>
      <c r="H21" s="20">
        <f>IF(G21="","",'Setup'!G19)</f>
        <v/>
      </c>
      <c r="I21" s="20">
        <f>IF(G21="","",SUMIFS($E$7:$E$86,$D$7:$D$86,G21))</f>
        <v/>
      </c>
      <c r="J21" s="20">
        <f>IF(G21="","",H21-I21)</f>
        <v/>
      </c>
      <c r="K21" s="30">
        <f>IF(OR(G21="",H21=0),"",I21/H21)</f>
        <v/>
      </c>
      <c r="L21" s="31">
        <f>IF(K21="","",REPT("█",ROUND(MIN(1,MAX(0,K21))*10,0))&amp;REPT("░",10-ROUND(MIN(1,MAX(0,K21))*10,0)))</f>
        <v/>
      </c>
    </row>
    <row r="22">
      <c r="B22" s="27" t="n"/>
      <c r="C22" s="28" t="n"/>
      <c r="D22" s="15" t="n"/>
      <c r="E22" s="24" t="n"/>
      <c r="G22" s="10">
        <f>IF('Setup'!E20="","",'Setup'!E20)</f>
        <v/>
      </c>
      <c r="H22" s="20">
        <f>IF(G22="","",'Setup'!G20)</f>
        <v/>
      </c>
      <c r="I22" s="20">
        <f>IF(G22="","",SUMIFS($E$7:$E$86,$D$7:$D$86,G22))</f>
        <v/>
      </c>
      <c r="J22" s="20">
        <f>IF(G22="","",H22-I22)</f>
        <v/>
      </c>
      <c r="K22" s="30">
        <f>IF(OR(G22="",H22=0),"",I22/H22)</f>
        <v/>
      </c>
      <c r="L22" s="31">
        <f>IF(K22="","",REPT("█",ROUND(MIN(1,MAX(0,K22))*10,0))&amp;REPT("░",10-ROUND(MIN(1,MAX(0,K22))*10,0)))</f>
        <v/>
      </c>
    </row>
    <row r="23">
      <c r="B23" s="27" t="n"/>
      <c r="C23" s="28" t="n"/>
      <c r="D23" s="15" t="n"/>
      <c r="E23" s="24" t="n"/>
      <c r="G23" s="10">
        <f>IF('Setup'!E21="","",'Setup'!E21)</f>
        <v/>
      </c>
      <c r="H23" s="20">
        <f>IF(G23="","",'Setup'!G21)</f>
        <v/>
      </c>
      <c r="I23" s="20">
        <f>IF(G23="","",SUMIFS($E$7:$E$86,$D$7:$D$86,G23))</f>
        <v/>
      </c>
      <c r="J23" s="20">
        <f>IF(G23="","",H23-I23)</f>
        <v/>
      </c>
      <c r="K23" s="30">
        <f>IF(OR(G23="",H23=0),"",I23/H23)</f>
        <v/>
      </c>
      <c r="L23" s="31">
        <f>IF(K23="","",REPT("█",ROUND(MIN(1,MAX(0,K23))*10,0))&amp;REPT("░",10-ROUND(MIN(1,MAX(0,K23))*10,0)))</f>
        <v/>
      </c>
    </row>
    <row r="24">
      <c r="B24" s="27" t="n"/>
      <c r="C24" s="28" t="n"/>
      <c r="D24" s="15" t="n"/>
      <c r="E24" s="24" t="n"/>
      <c r="G24" s="10">
        <f>IF('Setup'!E22="","",'Setup'!E22)</f>
        <v/>
      </c>
      <c r="H24" s="20">
        <f>IF(G24="","",'Setup'!G22)</f>
        <v/>
      </c>
      <c r="I24" s="20">
        <f>IF(G24="","",SUMIFS($E$7:$E$86,$D$7:$D$86,G24))</f>
        <v/>
      </c>
      <c r="J24" s="20">
        <f>IF(G24="","",H24-I24)</f>
        <v/>
      </c>
      <c r="K24" s="30">
        <f>IF(OR(G24="",H24=0),"",I24/H24)</f>
        <v/>
      </c>
      <c r="L24" s="31">
        <f>IF(K24="","",REPT("█",ROUND(MIN(1,MAX(0,K24))*10,0))&amp;REPT("░",10-ROUND(MIN(1,MAX(0,K24))*10,0)))</f>
        <v/>
      </c>
    </row>
    <row r="25">
      <c r="B25" s="27" t="n"/>
      <c r="C25" s="28" t="n"/>
      <c r="D25" s="15" t="n"/>
      <c r="E25" s="24" t="n"/>
      <c r="G25" s="10">
        <f>IF('Setup'!E23="","",'Setup'!E23)</f>
        <v/>
      </c>
      <c r="H25" s="20">
        <f>IF(G25="","",'Setup'!G23)</f>
        <v/>
      </c>
      <c r="I25" s="20">
        <f>IF(G25="","",SUMIFS($E$7:$E$86,$D$7:$D$86,G25))</f>
        <v/>
      </c>
      <c r="J25" s="20">
        <f>IF(G25="","",H25-I25)</f>
        <v/>
      </c>
      <c r="K25" s="30">
        <f>IF(OR(G25="",H25=0),"",I25/H25)</f>
        <v/>
      </c>
      <c r="L25" s="31">
        <f>IF(K25="","",REPT("█",ROUND(MIN(1,MAX(0,K25))*10,0))&amp;REPT("░",10-ROUND(MIN(1,MAX(0,K25))*10,0)))</f>
        <v/>
      </c>
    </row>
    <row r="26">
      <c r="B26" s="27" t="n"/>
      <c r="C26" s="28" t="n"/>
      <c r="D26" s="15" t="n"/>
      <c r="E26" s="24" t="n"/>
      <c r="G26" s="10">
        <f>IF('Setup'!E24="","",'Setup'!E24)</f>
        <v/>
      </c>
      <c r="H26" s="20">
        <f>IF(G26="","",'Setup'!G24)</f>
        <v/>
      </c>
      <c r="I26" s="20">
        <f>IF(G26="","",SUMIFS($E$7:$E$86,$D$7:$D$86,G26))</f>
        <v/>
      </c>
      <c r="J26" s="20">
        <f>IF(G26="","",H26-I26)</f>
        <v/>
      </c>
      <c r="K26" s="30">
        <f>IF(OR(G26="",H26=0),"",I26/H26)</f>
        <v/>
      </c>
      <c r="L26" s="31">
        <f>IF(K26="","",REPT("█",ROUND(MIN(1,MAX(0,K26))*10,0))&amp;REPT("░",10-ROUND(MIN(1,MAX(0,K26))*10,0)))</f>
        <v/>
      </c>
    </row>
    <row r="27">
      <c r="B27" s="27" t="n"/>
      <c r="C27" s="28" t="n"/>
      <c r="D27" s="15" t="n"/>
      <c r="E27" s="24" t="n"/>
      <c r="G27" s="10">
        <f>IF('Setup'!E25="","",'Setup'!E25)</f>
        <v/>
      </c>
      <c r="H27" s="20">
        <f>IF(G27="","",'Setup'!G25)</f>
        <v/>
      </c>
      <c r="I27" s="20">
        <f>IF(G27="","",SUMIFS($E$7:$E$86,$D$7:$D$86,G27))</f>
        <v/>
      </c>
      <c r="J27" s="20">
        <f>IF(G27="","",H27-I27)</f>
        <v/>
      </c>
      <c r="K27" s="30">
        <f>IF(OR(G27="",H27=0),"",I27/H27)</f>
        <v/>
      </c>
      <c r="L27" s="31">
        <f>IF(K27="","",REPT("█",ROUND(MIN(1,MAX(0,K27))*10,0))&amp;REPT("░",10-ROUND(MIN(1,MAX(0,K27))*10,0)))</f>
        <v/>
      </c>
    </row>
    <row r="28">
      <c r="B28" s="27" t="n"/>
      <c r="C28" s="28" t="n"/>
      <c r="D28" s="15" t="n"/>
      <c r="E28" s="24" t="n"/>
      <c r="G28" s="10">
        <f>IF('Setup'!E26="","",'Setup'!E26)</f>
        <v/>
      </c>
      <c r="H28" s="20">
        <f>IF(G28="","",'Setup'!G26)</f>
        <v/>
      </c>
      <c r="I28" s="20">
        <f>IF(G28="","",SUMIFS($E$7:$E$86,$D$7:$D$86,G28))</f>
        <v/>
      </c>
      <c r="J28" s="20">
        <f>IF(G28="","",H28-I28)</f>
        <v/>
      </c>
      <c r="K28" s="30">
        <f>IF(OR(G28="",H28=0),"",I28/H28)</f>
        <v/>
      </c>
      <c r="L28" s="31">
        <f>IF(K28="","",REPT("█",ROUND(MIN(1,MAX(0,K28))*10,0))&amp;REPT("░",10-ROUND(MIN(1,MAX(0,K28))*10,0)))</f>
        <v/>
      </c>
    </row>
    <row r="29">
      <c r="B29" s="27" t="n"/>
      <c r="C29" s="28" t="n"/>
      <c r="D29" s="15" t="n"/>
      <c r="E29" s="24" t="n"/>
      <c r="G29" s="10">
        <f>IF('Setup'!E27="","",'Setup'!E27)</f>
        <v/>
      </c>
      <c r="H29" s="20">
        <f>IF(G29="","",'Setup'!G27)</f>
        <v/>
      </c>
      <c r="I29" s="20">
        <f>IF(G29="","",SUMIFS($E$7:$E$86,$D$7:$D$86,G29))</f>
        <v/>
      </c>
      <c r="J29" s="20">
        <f>IF(G29="","",H29-I29)</f>
        <v/>
      </c>
      <c r="K29" s="30">
        <f>IF(OR(G29="",H29=0),"",I29/H29)</f>
        <v/>
      </c>
      <c r="L29" s="31">
        <f>IF(K29="","",REPT("█",ROUND(MIN(1,MAX(0,K29))*10,0))&amp;REPT("░",10-ROUND(MIN(1,MAX(0,K29))*10,0)))</f>
        <v/>
      </c>
    </row>
    <row r="30">
      <c r="B30" s="27" t="n"/>
      <c r="C30" s="28" t="n"/>
      <c r="D30" s="15" t="n"/>
      <c r="E30" s="24" t="n"/>
      <c r="G30" s="10">
        <f>IF('Setup'!E28="","",'Setup'!E28)</f>
        <v/>
      </c>
      <c r="H30" s="20">
        <f>IF(G30="","",'Setup'!G28)</f>
        <v/>
      </c>
      <c r="I30" s="20">
        <f>IF(G30="","",SUMIFS($E$7:$E$86,$D$7:$D$86,G30))</f>
        <v/>
      </c>
      <c r="J30" s="20">
        <f>IF(G30="","",H30-I30)</f>
        <v/>
      </c>
      <c r="K30" s="30">
        <f>IF(OR(G30="",H30=0),"",I30/H30)</f>
        <v/>
      </c>
      <c r="L30" s="31">
        <f>IF(K30="","",REPT("█",ROUND(MIN(1,MAX(0,K30))*10,0))&amp;REPT("░",10-ROUND(MIN(1,MAX(0,K30))*10,0)))</f>
        <v/>
      </c>
    </row>
    <row r="31">
      <c r="B31" s="27" t="n"/>
      <c r="C31" s="28" t="n"/>
      <c r="D31" s="15" t="n"/>
      <c r="E31" s="24" t="n"/>
      <c r="G31" s="10">
        <f>IF('Setup'!E29="","",'Setup'!E29)</f>
        <v/>
      </c>
      <c r="H31" s="20">
        <f>IF(G31="","",'Setup'!G29)</f>
        <v/>
      </c>
      <c r="I31" s="20">
        <f>IF(G31="","",SUMIFS($E$7:$E$86,$D$7:$D$86,G31))</f>
        <v/>
      </c>
      <c r="J31" s="20">
        <f>IF(G31="","",H31-I31)</f>
        <v/>
      </c>
      <c r="K31" s="30">
        <f>IF(OR(G31="",H31=0),"",I31/H31)</f>
        <v/>
      </c>
      <c r="L31" s="31">
        <f>IF(K31="","",REPT("█",ROUND(MIN(1,MAX(0,K31))*10,0))&amp;REPT("░",10-ROUND(MIN(1,MAX(0,K31))*10,0)))</f>
        <v/>
      </c>
    </row>
    <row r="32">
      <c r="B32" s="27" t="n"/>
      <c r="C32" s="28" t="n"/>
      <c r="D32" s="15" t="n"/>
      <c r="E32" s="24" t="n"/>
      <c r="G32" s="10">
        <f>IF('Setup'!E30="","",'Setup'!E30)</f>
        <v/>
      </c>
      <c r="H32" s="20">
        <f>IF(G32="","",'Setup'!G30)</f>
        <v/>
      </c>
      <c r="I32" s="20">
        <f>IF(G32="","",SUMIFS($E$7:$E$86,$D$7:$D$86,G32))</f>
        <v/>
      </c>
      <c r="J32" s="20">
        <f>IF(G32="","",H32-I32)</f>
        <v/>
      </c>
      <c r="K32" s="30">
        <f>IF(OR(G32="",H32=0),"",I32/H32)</f>
        <v/>
      </c>
      <c r="L32" s="31">
        <f>IF(K32="","",REPT("█",ROUND(MIN(1,MAX(0,K32))*10,0))&amp;REPT("░",10-ROUND(MIN(1,MAX(0,K32))*10,0)))</f>
        <v/>
      </c>
    </row>
    <row r="33">
      <c r="B33" s="27" t="n"/>
      <c r="C33" s="28" t="n"/>
      <c r="D33" s="15" t="n"/>
      <c r="E33" s="24" t="n"/>
      <c r="G33" s="10">
        <f>IF('Setup'!E31="","",'Setup'!E31)</f>
        <v/>
      </c>
      <c r="H33" s="20">
        <f>IF(G33="","",'Setup'!G31)</f>
        <v/>
      </c>
      <c r="I33" s="20">
        <f>IF(G33="","",SUMIFS($E$7:$E$86,$D$7:$D$86,G33))</f>
        <v/>
      </c>
      <c r="J33" s="20">
        <f>IF(G33="","",H33-I33)</f>
        <v/>
      </c>
      <c r="K33" s="30">
        <f>IF(OR(G33="",H33=0),"",I33/H33)</f>
        <v/>
      </c>
      <c r="L33" s="31">
        <f>IF(K33="","",REPT("█",ROUND(MIN(1,MAX(0,K33))*10,0))&amp;REPT("░",10-ROUND(MIN(1,MAX(0,K33))*10,0)))</f>
        <v/>
      </c>
    </row>
    <row r="34">
      <c r="B34" s="27" t="n"/>
      <c r="C34" s="28" t="n"/>
      <c r="D34" s="15" t="n"/>
      <c r="E34" s="24" t="n"/>
      <c r="G34" s="10">
        <f>IF('Setup'!E32="","",'Setup'!E32)</f>
        <v/>
      </c>
      <c r="H34" s="20">
        <f>IF(G34="","",'Setup'!G32)</f>
        <v/>
      </c>
      <c r="I34" s="20">
        <f>IF(G34="","",SUMIFS($E$7:$E$86,$D$7:$D$86,G34))</f>
        <v/>
      </c>
      <c r="J34" s="20">
        <f>IF(G34="","",H34-I34)</f>
        <v/>
      </c>
      <c r="K34" s="30">
        <f>IF(OR(G34="",H34=0),"",I34/H34)</f>
        <v/>
      </c>
      <c r="L34" s="31">
        <f>IF(K34="","",REPT("█",ROUND(MIN(1,MAX(0,K34))*10,0))&amp;REPT("░",10-ROUND(MIN(1,MAX(0,K34))*10,0)))</f>
        <v/>
      </c>
    </row>
    <row r="35">
      <c r="B35" s="27" t="n"/>
      <c r="C35" s="28" t="n"/>
      <c r="D35" s="15" t="n"/>
      <c r="E35" s="24" t="n"/>
      <c r="G35" s="10">
        <f>IF('Setup'!E33="","",'Setup'!E33)</f>
        <v/>
      </c>
      <c r="H35" s="20">
        <f>IF(G35="","",'Setup'!G33)</f>
        <v/>
      </c>
      <c r="I35" s="20">
        <f>IF(G35="","",SUMIFS($E$7:$E$86,$D$7:$D$86,G35))</f>
        <v/>
      </c>
      <c r="J35" s="20">
        <f>IF(G35="","",H35-I35)</f>
        <v/>
      </c>
      <c r="K35" s="30">
        <f>IF(OR(G35="",H35=0),"",I35/H35)</f>
        <v/>
      </c>
      <c r="L35" s="31">
        <f>IF(K35="","",REPT("█",ROUND(MIN(1,MAX(0,K35))*10,0))&amp;REPT("░",10-ROUND(MIN(1,MAX(0,K35))*10,0)))</f>
        <v/>
      </c>
    </row>
    <row r="36">
      <c r="B36" s="27" t="n"/>
      <c r="C36" s="28" t="n"/>
      <c r="D36" s="15" t="n"/>
      <c r="E36" s="24" t="n"/>
      <c r="G36" s="10">
        <f>IF('Setup'!E34="","",'Setup'!E34)</f>
        <v/>
      </c>
      <c r="H36" s="20">
        <f>IF(G36="","",'Setup'!G34)</f>
        <v/>
      </c>
      <c r="I36" s="20">
        <f>IF(G36="","",SUMIFS($E$7:$E$86,$D$7:$D$86,G36))</f>
        <v/>
      </c>
      <c r="J36" s="20">
        <f>IF(G36="","",H36-I36)</f>
        <v/>
      </c>
      <c r="K36" s="30">
        <f>IF(OR(G36="",H36=0),"",I36/H36)</f>
        <v/>
      </c>
      <c r="L36" s="31">
        <f>IF(K36="","",REPT("█",ROUND(MIN(1,MAX(0,K36))*10,0))&amp;REPT("░",10-ROUND(MIN(1,MAX(0,K36))*10,0)))</f>
        <v/>
      </c>
    </row>
    <row r="37">
      <c r="B37" s="27" t="n"/>
      <c r="C37" s="28" t="n"/>
      <c r="D37" s="15" t="n"/>
      <c r="E37" s="24" t="n"/>
      <c r="G37" s="10">
        <f>IF('Setup'!E35="","",'Setup'!E35)</f>
        <v/>
      </c>
      <c r="H37" s="20">
        <f>IF(G37="","",'Setup'!G35)</f>
        <v/>
      </c>
      <c r="I37" s="20">
        <f>IF(G37="","",SUMIFS($E$7:$E$86,$D$7:$D$86,G37))</f>
        <v/>
      </c>
      <c r="J37" s="20">
        <f>IF(G37="","",H37-I37)</f>
        <v/>
      </c>
      <c r="K37" s="30">
        <f>IF(OR(G37="",H37=0),"",I37/H37)</f>
        <v/>
      </c>
      <c r="L37" s="31">
        <f>IF(K37="","",REPT("█",ROUND(MIN(1,MAX(0,K37))*10,0))&amp;REPT("░",10-ROUND(MIN(1,MAX(0,K37))*10,0)))</f>
        <v/>
      </c>
    </row>
    <row r="38">
      <c r="B38" s="27" t="n"/>
      <c r="C38" s="28" t="n"/>
      <c r="D38" s="15" t="n"/>
      <c r="E38" s="24" t="n"/>
      <c r="G38" s="10">
        <f>IF('Setup'!E36="","",'Setup'!E36)</f>
        <v/>
      </c>
      <c r="H38" s="20">
        <f>IF(G38="","",'Setup'!G36)</f>
        <v/>
      </c>
      <c r="I38" s="20">
        <f>IF(G38="","",SUMIFS($E$7:$E$86,$D$7:$D$86,G38))</f>
        <v/>
      </c>
      <c r="J38" s="20">
        <f>IF(G38="","",H38-I38)</f>
        <v/>
      </c>
      <c r="K38" s="30">
        <f>IF(OR(G38="",H38=0),"",I38/H38)</f>
        <v/>
      </c>
      <c r="L38" s="31">
        <f>IF(K38="","",REPT("█",ROUND(MIN(1,MAX(0,K38))*10,0))&amp;REPT("░",10-ROUND(MIN(1,MAX(0,K38))*10,0)))</f>
        <v/>
      </c>
    </row>
    <row r="39">
      <c r="B39" s="27" t="n"/>
      <c r="C39" s="28" t="n"/>
      <c r="D39" s="15" t="n"/>
      <c r="E39" s="24" t="n"/>
      <c r="G39" s="10">
        <f>IF('Setup'!E37="","",'Setup'!E37)</f>
        <v/>
      </c>
      <c r="H39" s="20">
        <f>IF(G39="","",'Setup'!G37)</f>
        <v/>
      </c>
      <c r="I39" s="20">
        <f>IF(G39="","",SUMIFS($E$7:$E$86,$D$7:$D$86,G39))</f>
        <v/>
      </c>
      <c r="J39" s="20">
        <f>IF(G39="","",H39-I39)</f>
        <v/>
      </c>
      <c r="K39" s="30">
        <f>IF(OR(G39="",H39=0),"",I39/H39)</f>
        <v/>
      </c>
      <c r="L39" s="31">
        <f>IF(K39="","",REPT("█",ROUND(MIN(1,MAX(0,K39))*10,0))&amp;REPT("░",10-ROUND(MIN(1,MAX(0,K39))*10,0)))</f>
        <v/>
      </c>
    </row>
    <row r="40">
      <c r="B40" s="27" t="n"/>
      <c r="C40" s="28" t="n"/>
      <c r="D40" s="15" t="n"/>
      <c r="E40" s="24" t="n"/>
      <c r="G40" s="10">
        <f>IF('Setup'!E38="","",'Setup'!E38)</f>
        <v/>
      </c>
      <c r="H40" s="20">
        <f>IF(G40="","",'Setup'!G38)</f>
        <v/>
      </c>
      <c r="I40" s="20">
        <f>IF(G40="","",SUMIFS($E$7:$E$86,$D$7:$D$86,G40))</f>
        <v/>
      </c>
      <c r="J40" s="20">
        <f>IF(G40="","",H40-I40)</f>
        <v/>
      </c>
      <c r="K40" s="30">
        <f>IF(OR(G40="",H40=0),"",I40/H40)</f>
        <v/>
      </c>
      <c r="L40" s="31">
        <f>IF(K40="","",REPT("█",ROUND(MIN(1,MAX(0,K40))*10,0))&amp;REPT("░",10-ROUND(MIN(1,MAX(0,K40))*10,0)))</f>
        <v/>
      </c>
    </row>
    <row r="41">
      <c r="B41" s="27" t="n"/>
      <c r="C41" s="28" t="n"/>
      <c r="D41" s="15" t="n"/>
      <c r="E41" s="24" t="n"/>
      <c r="G41" s="10">
        <f>IF('Setup'!E39="","",'Setup'!E39)</f>
        <v/>
      </c>
      <c r="H41" s="20">
        <f>IF(G41="","",'Setup'!G39)</f>
        <v/>
      </c>
      <c r="I41" s="20">
        <f>IF(G41="","",SUMIFS($E$7:$E$86,$D$7:$D$86,G41))</f>
        <v/>
      </c>
      <c r="J41" s="20">
        <f>IF(G41="","",H41-I41)</f>
        <v/>
      </c>
      <c r="K41" s="30">
        <f>IF(OR(G41="",H41=0),"",I41/H41)</f>
        <v/>
      </c>
      <c r="L41" s="31">
        <f>IF(K41="","",REPT("█",ROUND(MIN(1,MAX(0,K41))*10,0))&amp;REPT("░",10-ROUND(MIN(1,MAX(0,K41))*10,0)))</f>
        <v/>
      </c>
    </row>
    <row r="42">
      <c r="B42" s="27" t="n"/>
      <c r="C42" s="28" t="n"/>
      <c r="D42" s="15" t="n"/>
      <c r="E42" s="24" t="n"/>
    </row>
    <row r="43">
      <c r="B43" s="27" t="n"/>
      <c r="C43" s="28" t="n"/>
      <c r="D43" s="15" t="n"/>
      <c r="E43" s="24" t="n"/>
    </row>
    <row r="44">
      <c r="B44" s="27" t="n"/>
      <c r="C44" s="28" t="n"/>
      <c r="D44" s="15" t="n"/>
      <c r="E44" s="24" t="n"/>
    </row>
    <row r="45">
      <c r="B45" s="27" t="n"/>
      <c r="C45" s="28" t="n"/>
      <c r="D45" s="15" t="n"/>
      <c r="E45" s="24" t="n"/>
    </row>
    <row r="46">
      <c r="B46" s="27" t="n"/>
      <c r="C46" s="28" t="n"/>
      <c r="D46" s="15" t="n"/>
      <c r="E46" s="24" t="n"/>
    </row>
    <row r="47">
      <c r="B47" s="27" t="n"/>
      <c r="C47" s="28" t="n"/>
      <c r="D47" s="15" t="n"/>
      <c r="E47" s="24" t="n"/>
    </row>
    <row r="48">
      <c r="B48" s="27" t="n"/>
      <c r="C48" s="28" t="n"/>
      <c r="D48" s="15" t="n"/>
      <c r="E48" s="24" t="n"/>
    </row>
    <row r="49">
      <c r="B49" s="27" t="n"/>
      <c r="C49" s="28" t="n"/>
      <c r="D49" s="15" t="n"/>
      <c r="E49" s="24" t="n"/>
    </row>
    <row r="50">
      <c r="B50" s="27" t="n"/>
      <c r="C50" s="28" t="n"/>
      <c r="D50" s="15" t="n"/>
      <c r="E50" s="24" t="n"/>
    </row>
    <row r="51">
      <c r="B51" s="27" t="n"/>
      <c r="C51" s="28" t="n"/>
      <c r="D51" s="15" t="n"/>
      <c r="E51" s="24" t="n"/>
    </row>
    <row r="52">
      <c r="B52" s="27" t="n"/>
      <c r="C52" s="28" t="n"/>
      <c r="D52" s="15" t="n"/>
      <c r="E52" s="24" t="n"/>
    </row>
    <row r="53">
      <c r="B53" s="27" t="n"/>
      <c r="C53" s="28" t="n"/>
      <c r="D53" s="15" t="n"/>
      <c r="E53" s="24" t="n"/>
    </row>
    <row r="54">
      <c r="B54" s="27" t="n"/>
      <c r="C54" s="28" t="n"/>
      <c r="D54" s="15" t="n"/>
      <c r="E54" s="24" t="n"/>
    </row>
    <row r="55">
      <c r="B55" s="27" t="n"/>
      <c r="C55" s="28" t="n"/>
      <c r="D55" s="15" t="n"/>
      <c r="E55" s="24" t="n"/>
    </row>
    <row r="56">
      <c r="B56" s="27" t="n"/>
      <c r="C56" s="28" t="n"/>
      <c r="D56" s="15" t="n"/>
      <c r="E56" s="24" t="n"/>
    </row>
    <row r="57">
      <c r="B57" s="27" t="n"/>
      <c r="C57" s="28" t="n"/>
      <c r="D57" s="15" t="n"/>
      <c r="E57" s="24" t="n"/>
    </row>
    <row r="58">
      <c r="B58" s="27" t="n"/>
      <c r="C58" s="28" t="n"/>
      <c r="D58" s="15" t="n"/>
      <c r="E58" s="24" t="n"/>
    </row>
    <row r="59">
      <c r="B59" s="27" t="n"/>
      <c r="C59" s="28" t="n"/>
      <c r="D59" s="15" t="n"/>
      <c r="E59" s="24" t="n"/>
    </row>
    <row r="60">
      <c r="B60" s="27" t="n"/>
      <c r="C60" s="28" t="n"/>
      <c r="D60" s="15" t="n"/>
      <c r="E60" s="24" t="n"/>
    </row>
    <row r="61">
      <c r="B61" s="27" t="n"/>
      <c r="C61" s="28" t="n"/>
      <c r="D61" s="15" t="n"/>
      <c r="E61" s="24" t="n"/>
    </row>
    <row r="62">
      <c r="B62" s="27" t="n"/>
      <c r="C62" s="28" t="n"/>
      <c r="D62" s="15" t="n"/>
      <c r="E62" s="24" t="n"/>
    </row>
    <row r="63">
      <c r="B63" s="27" t="n"/>
      <c r="C63" s="28" t="n"/>
      <c r="D63" s="15" t="n"/>
      <c r="E63" s="24" t="n"/>
    </row>
    <row r="64">
      <c r="B64" s="27" t="n"/>
      <c r="C64" s="28" t="n"/>
      <c r="D64" s="15" t="n"/>
      <c r="E64" s="24" t="n"/>
    </row>
    <row r="65">
      <c r="B65" s="27" t="n"/>
      <c r="C65" s="28" t="n"/>
      <c r="D65" s="15" t="n"/>
      <c r="E65" s="24" t="n"/>
    </row>
    <row r="66">
      <c r="B66" s="27" t="n"/>
      <c r="C66" s="28" t="n"/>
      <c r="D66" s="15" t="n"/>
      <c r="E66" s="24" t="n"/>
    </row>
    <row r="67">
      <c r="B67" s="27" t="n"/>
      <c r="C67" s="28" t="n"/>
      <c r="D67" s="15" t="n"/>
      <c r="E67" s="24" t="n"/>
    </row>
    <row r="68">
      <c r="B68" s="27" t="n"/>
      <c r="C68" s="28" t="n"/>
      <c r="D68" s="15" t="n"/>
      <c r="E68" s="24" t="n"/>
    </row>
    <row r="69">
      <c r="B69" s="27" t="n"/>
      <c r="C69" s="28" t="n"/>
      <c r="D69" s="15" t="n"/>
      <c r="E69" s="24" t="n"/>
    </row>
    <row r="70">
      <c r="B70" s="27" t="n"/>
      <c r="C70" s="28" t="n"/>
      <c r="D70" s="15" t="n"/>
      <c r="E70" s="24" t="n"/>
    </row>
    <row r="71">
      <c r="B71" s="27" t="n"/>
      <c r="C71" s="28" t="n"/>
      <c r="D71" s="15" t="n"/>
      <c r="E71" s="24" t="n"/>
    </row>
    <row r="72">
      <c r="B72" s="27" t="n"/>
      <c r="C72" s="28" t="n"/>
      <c r="D72" s="15" t="n"/>
      <c r="E72" s="24" t="n"/>
    </row>
    <row r="73">
      <c r="B73" s="27" t="n"/>
      <c r="C73" s="28" t="n"/>
      <c r="D73" s="15" t="n"/>
      <c r="E73" s="24" t="n"/>
    </row>
    <row r="74">
      <c r="B74" s="27" t="n"/>
      <c r="C74" s="28" t="n"/>
      <c r="D74" s="15" t="n"/>
      <c r="E74" s="24" t="n"/>
    </row>
    <row r="75">
      <c r="B75" s="27" t="n"/>
      <c r="C75" s="28" t="n"/>
      <c r="D75" s="15" t="n"/>
      <c r="E75" s="24" t="n"/>
    </row>
    <row r="76">
      <c r="B76" s="27" t="n"/>
      <c r="C76" s="28" t="n"/>
      <c r="D76" s="15" t="n"/>
      <c r="E76" s="24" t="n"/>
    </row>
    <row r="77">
      <c r="B77" s="27" t="n"/>
      <c r="C77" s="28" t="n"/>
      <c r="D77" s="15" t="n"/>
      <c r="E77" s="24" t="n"/>
    </row>
    <row r="78">
      <c r="B78" s="27" t="n"/>
      <c r="C78" s="28" t="n"/>
      <c r="D78" s="15" t="n"/>
      <c r="E78" s="24" t="n"/>
    </row>
    <row r="79">
      <c r="B79" s="27" t="n"/>
      <c r="C79" s="28" t="n"/>
      <c r="D79" s="15" t="n"/>
      <c r="E79" s="24" t="n"/>
    </row>
    <row r="80">
      <c r="B80" s="27" t="n"/>
      <c r="C80" s="28" t="n"/>
      <c r="D80" s="15" t="n"/>
      <c r="E80" s="24" t="n"/>
    </row>
    <row r="81">
      <c r="B81" s="27" t="n"/>
      <c r="C81" s="28" t="n"/>
      <c r="D81" s="15" t="n"/>
      <c r="E81" s="24" t="n"/>
    </row>
    <row r="82">
      <c r="B82" s="27" t="n"/>
      <c r="C82" s="28" t="n"/>
      <c r="D82" s="15" t="n"/>
      <c r="E82" s="24" t="n"/>
    </row>
    <row r="83">
      <c r="B83" s="27" t="n"/>
      <c r="C83" s="28" t="n"/>
      <c r="D83" s="15" t="n"/>
      <c r="E83" s="24" t="n"/>
    </row>
    <row r="84">
      <c r="B84" s="27" t="n"/>
      <c r="C84" s="28" t="n"/>
      <c r="D84" s="15" t="n"/>
      <c r="E84" s="24" t="n"/>
    </row>
    <row r="85">
      <c r="B85" s="27" t="n"/>
      <c r="C85" s="28" t="n"/>
      <c r="D85" s="15" t="n"/>
      <c r="E85" s="24" t="n"/>
    </row>
    <row r="86">
      <c r="B86" s="27" t="n"/>
      <c r="C86" s="28" t="n"/>
      <c r="D86" s="15" t="n"/>
      <c r="E86" s="24" t="n"/>
    </row>
  </sheetData>
  <sheetProtection selectLockedCells="0" selectUnlockedCells="0" sheet="1" objects="0" insertRows="0" insertHyperlinks="1" autoFilter="0" scenarios="0" formatColumns="0" deleteColumns="1" insertColumns="1" pivotTables="1" deleteRows="1" formatCells="1" formatRows="0" sort="0"/>
  <conditionalFormatting sqref="H8">
    <cfRule type="cellIs" priority="1" operator="lessThan" dxfId="1">
      <formula>0</formula>
    </cfRule>
  </conditionalFormatting>
  <conditionalFormatting sqref="J12:J41">
    <cfRule type="cellIs" priority="2" operator="lessThan" dxfId="1">
      <formula>0</formula>
    </cfRule>
  </conditionalFormatting>
  <conditionalFormatting sqref="L12:L41">
    <cfRule type="expression" priority="3" dxfId="2">
      <formula>K12&gt;1</formula>
    </cfRule>
  </conditionalFormatting>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showDropDown="0" showInputMessage="0" showErrorMessage="0" allowBlank="1" type="list">
      <formula1>=Categories</formula1>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gridLines="0"/>
  <pageMargins left="0.75" right="0.75" top="1" bottom="1" header="0.5" footer="0.5"/>
  <pageSetup orientation="landscape" fitToHeight="1" fitToWidth="1"/>
</worksheet>
</file>

<file path=xl/worksheets/sheet11.xml><?xml version="1.0" encoding="utf-8"?>
<worksheet xmlns="http://schemas.openxmlformats.org/spreadsheetml/2006/main">
  <sheetPr>
    <tabColor rgb="002F6F5E"/>
    <outlinePr summaryBelow="1" summaryRight="1"/>
    <pageSetUpPr fitToPage="1"/>
  </sheetPr>
  <dimension ref="B2:L86"/>
  <sheetViews>
    <sheetView showGridLines="0" workbookViewId="0">
      <pane ySplit="6" topLeftCell="A7" activePane="bottomLeft" state="frozen"/>
      <selection pane="bottomLeft" activeCell="A1" sqref="A1"/>
    </sheetView>
  </sheetViews>
  <sheetFormatPr baseColWidth="8" defaultRowHeight="15"/>
  <cols>
    <col width="3" customWidth="1" min="1" max="1"/>
    <col width="12" customWidth="1" min="2" max="2"/>
    <col width="26" customWidth="1" min="3" max="3"/>
    <col width="22" customWidth="1" min="4" max="4"/>
    <col width="14" customWidth="1" min="5" max="5"/>
    <col width="14" customWidth="1" min="6" max="6"/>
    <col width="22" customWidth="1" min="7" max="7"/>
    <col width="13" customWidth="1" min="8" max="8"/>
    <col width="13" customWidth="1" min="9" max="9"/>
    <col width="13" customWidth="1" min="10" max="10"/>
    <col width="9"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August</t>
        </is>
      </c>
    </row>
    <row r="3">
      <c r="B3" s="2" t="inlineStr">
        <is>
          <t>Log what you spend. The summary on the right updates itself.</t>
        </is>
      </c>
    </row>
    <row r="4">
      <c r="B4" s="3" t="inlineStr">
        <is>
          <t>Start here</t>
        </is>
      </c>
      <c r="D4" s="3" t="inlineStr">
        <is>
          <t>Dashboard</t>
        </is>
      </c>
      <c r="E4" s="3" t="inlineStr">
        <is>
          <t>Setup</t>
        </is>
      </c>
      <c r="F4" s="3" t="inlineStr">
        <is>
          <t>Months</t>
        </is>
      </c>
      <c r="G4" s="3" t="inlineStr">
        <is>
          <t>Bills</t>
        </is>
      </c>
      <c r="H4" s="3" t="inlineStr">
        <is>
          <t>Paycheck</t>
        </is>
      </c>
      <c r="I4" s="3" t="inlineStr">
        <is>
          <t>Debt</t>
        </is>
      </c>
      <c r="J4" s="3" t="inlineStr">
        <is>
          <t>Savings</t>
        </is>
      </c>
    </row>
    <row r="6" ht="22" customHeight="1">
      <c r="B6" s="9" t="inlineStr">
        <is>
          <t>Date</t>
        </is>
      </c>
      <c r="C6" s="9" t="inlineStr">
        <is>
          <t>What</t>
        </is>
      </c>
      <c r="D6" s="9" t="inlineStr">
        <is>
          <t>Category</t>
        </is>
      </c>
      <c r="E6" s="9" t="inlineStr">
        <is>
          <t>Amount</t>
        </is>
      </c>
      <c r="G6" s="17" t="inlineStr">
        <is>
          <t>Income this month</t>
        </is>
      </c>
      <c r="H6" s="25">
        <f>'Setup'!$C$18</f>
        <v/>
      </c>
      <c r="I6" s="26" t="inlineStr">
        <is>
          <t>Type over this if your income was different</t>
        </is>
      </c>
    </row>
    <row r="7">
      <c r="B7" s="27" t="n"/>
      <c r="C7" s="28" t="n"/>
      <c r="D7" s="15" t="n"/>
      <c r="E7" s="24" t="n"/>
      <c r="G7" s="17" t="inlineStr">
        <is>
          <t>Spent</t>
        </is>
      </c>
      <c r="H7" s="29">
        <f>SUM(E7:E86)</f>
        <v/>
      </c>
    </row>
    <row r="8">
      <c r="B8" s="27" t="n"/>
      <c r="C8" s="28" t="n"/>
      <c r="D8" s="15" t="n"/>
      <c r="E8" s="24" t="n"/>
      <c r="G8" s="17" t="inlineStr">
        <is>
          <t>Left over</t>
        </is>
      </c>
      <c r="H8" s="29">
        <f>H6-H7</f>
        <v/>
      </c>
    </row>
    <row r="9">
      <c r="B9" s="27" t="n"/>
      <c r="C9" s="28" t="n"/>
      <c r="D9" s="15" t="n"/>
      <c r="E9" s="24" t="n"/>
      <c r="G9" s="17" t="inlineStr">
        <is>
          <t>Saved and debt paid</t>
        </is>
      </c>
      <c r="H9" s="29">
        <f>SUMPRODUCT(SUMIFS($E$7:$E$86,$D$7:$D$86,'Setup'!$E$10:$E$39)*(('Setup'!$F$10:$F$39="Savings")+('Setup'!$F$10:$F$39="Debt")))</f>
        <v/>
      </c>
    </row>
    <row r="10">
      <c r="B10" s="27" t="n"/>
      <c r="C10" s="28" t="n"/>
      <c r="D10" s="15" t="n"/>
      <c r="E10" s="24" t="n"/>
    </row>
    <row r="11" ht="22" customHeight="1">
      <c r="B11" s="27" t="n"/>
      <c r="C11" s="28" t="n"/>
      <c r="D11" s="15" t="n"/>
      <c r="E11" s="24" t="n"/>
      <c r="G11" s="9" t="inlineStr">
        <is>
          <t>Category</t>
        </is>
      </c>
      <c r="H11" s="9" t="inlineStr">
        <is>
          <t>Budget</t>
        </is>
      </c>
      <c r="I11" s="9" t="inlineStr">
        <is>
          <t>Spent</t>
        </is>
      </c>
      <c r="J11" s="9" t="inlineStr">
        <is>
          <t>Left</t>
        </is>
      </c>
      <c r="K11" s="9" t="inlineStr">
        <is>
          <t>Used</t>
        </is>
      </c>
      <c r="L11" s="9" t="inlineStr"/>
    </row>
    <row r="12">
      <c r="B12" s="27" t="n"/>
      <c r="C12" s="28" t="n"/>
      <c r="D12" s="15" t="n"/>
      <c r="E12" s="24" t="n"/>
      <c r="G12" s="10">
        <f>IF('Setup'!E10="","",'Setup'!E10)</f>
        <v/>
      </c>
      <c r="H12" s="20">
        <f>IF(G12="","",'Setup'!G10)</f>
        <v/>
      </c>
      <c r="I12" s="20">
        <f>IF(G12="","",SUMIFS($E$7:$E$86,$D$7:$D$86,G12))</f>
        <v/>
      </c>
      <c r="J12" s="20">
        <f>IF(G12="","",H12-I12)</f>
        <v/>
      </c>
      <c r="K12" s="30">
        <f>IF(OR(G12="",H12=0),"",I12/H12)</f>
        <v/>
      </c>
      <c r="L12" s="31">
        <f>IF(K12="","",REPT("█",ROUND(MIN(1,MAX(0,K12))*10,0))&amp;REPT("░",10-ROUND(MIN(1,MAX(0,K12))*10,0)))</f>
        <v/>
      </c>
    </row>
    <row r="13">
      <c r="B13" s="27" t="n"/>
      <c r="C13" s="28" t="n"/>
      <c r="D13" s="15" t="n"/>
      <c r="E13" s="24" t="n"/>
      <c r="G13" s="10">
        <f>IF('Setup'!E11="","",'Setup'!E11)</f>
        <v/>
      </c>
      <c r="H13" s="20">
        <f>IF(G13="","",'Setup'!G11)</f>
        <v/>
      </c>
      <c r="I13" s="20">
        <f>IF(G13="","",SUMIFS($E$7:$E$86,$D$7:$D$86,G13))</f>
        <v/>
      </c>
      <c r="J13" s="20">
        <f>IF(G13="","",H13-I13)</f>
        <v/>
      </c>
      <c r="K13" s="30">
        <f>IF(OR(G13="",H13=0),"",I13/H13)</f>
        <v/>
      </c>
      <c r="L13" s="31">
        <f>IF(K13="","",REPT("█",ROUND(MIN(1,MAX(0,K13))*10,0))&amp;REPT("░",10-ROUND(MIN(1,MAX(0,K13))*10,0)))</f>
        <v/>
      </c>
    </row>
    <row r="14">
      <c r="B14" s="27" t="n"/>
      <c r="C14" s="28" t="n"/>
      <c r="D14" s="15" t="n"/>
      <c r="E14" s="24" t="n"/>
      <c r="G14" s="10">
        <f>IF('Setup'!E12="","",'Setup'!E12)</f>
        <v/>
      </c>
      <c r="H14" s="20">
        <f>IF(G14="","",'Setup'!G12)</f>
        <v/>
      </c>
      <c r="I14" s="20">
        <f>IF(G14="","",SUMIFS($E$7:$E$86,$D$7:$D$86,G14))</f>
        <v/>
      </c>
      <c r="J14" s="20">
        <f>IF(G14="","",H14-I14)</f>
        <v/>
      </c>
      <c r="K14" s="30">
        <f>IF(OR(G14="",H14=0),"",I14/H14)</f>
        <v/>
      </c>
      <c r="L14" s="31">
        <f>IF(K14="","",REPT("█",ROUND(MIN(1,MAX(0,K14))*10,0))&amp;REPT("░",10-ROUND(MIN(1,MAX(0,K14))*10,0)))</f>
        <v/>
      </c>
    </row>
    <row r="15">
      <c r="B15" s="27" t="n"/>
      <c r="C15" s="28" t="n"/>
      <c r="D15" s="15" t="n"/>
      <c r="E15" s="24" t="n"/>
      <c r="G15" s="10">
        <f>IF('Setup'!E13="","",'Setup'!E13)</f>
        <v/>
      </c>
      <c r="H15" s="20">
        <f>IF(G15="","",'Setup'!G13)</f>
        <v/>
      </c>
      <c r="I15" s="20">
        <f>IF(G15="","",SUMIFS($E$7:$E$86,$D$7:$D$86,G15))</f>
        <v/>
      </c>
      <c r="J15" s="20">
        <f>IF(G15="","",H15-I15)</f>
        <v/>
      </c>
      <c r="K15" s="30">
        <f>IF(OR(G15="",H15=0),"",I15/H15)</f>
        <v/>
      </c>
      <c r="L15" s="31">
        <f>IF(K15="","",REPT("█",ROUND(MIN(1,MAX(0,K15))*10,0))&amp;REPT("░",10-ROUND(MIN(1,MAX(0,K15))*10,0)))</f>
        <v/>
      </c>
    </row>
    <row r="16">
      <c r="B16" s="27" t="n"/>
      <c r="C16" s="28" t="n"/>
      <c r="D16" s="15" t="n"/>
      <c r="E16" s="24" t="n"/>
      <c r="G16" s="10">
        <f>IF('Setup'!E14="","",'Setup'!E14)</f>
        <v/>
      </c>
      <c r="H16" s="20">
        <f>IF(G16="","",'Setup'!G14)</f>
        <v/>
      </c>
      <c r="I16" s="20">
        <f>IF(G16="","",SUMIFS($E$7:$E$86,$D$7:$D$86,G16))</f>
        <v/>
      </c>
      <c r="J16" s="20">
        <f>IF(G16="","",H16-I16)</f>
        <v/>
      </c>
      <c r="K16" s="30">
        <f>IF(OR(G16="",H16=0),"",I16/H16)</f>
        <v/>
      </c>
      <c r="L16" s="31">
        <f>IF(K16="","",REPT("█",ROUND(MIN(1,MAX(0,K16))*10,0))&amp;REPT("░",10-ROUND(MIN(1,MAX(0,K16))*10,0)))</f>
        <v/>
      </c>
    </row>
    <row r="17">
      <c r="B17" s="27" t="n"/>
      <c r="C17" s="28" t="n"/>
      <c r="D17" s="15" t="n"/>
      <c r="E17" s="24" t="n"/>
      <c r="G17" s="10">
        <f>IF('Setup'!E15="","",'Setup'!E15)</f>
        <v/>
      </c>
      <c r="H17" s="20">
        <f>IF(G17="","",'Setup'!G15)</f>
        <v/>
      </c>
      <c r="I17" s="20">
        <f>IF(G17="","",SUMIFS($E$7:$E$86,$D$7:$D$86,G17))</f>
        <v/>
      </c>
      <c r="J17" s="20">
        <f>IF(G17="","",H17-I17)</f>
        <v/>
      </c>
      <c r="K17" s="30">
        <f>IF(OR(G17="",H17=0),"",I17/H17)</f>
        <v/>
      </c>
      <c r="L17" s="31">
        <f>IF(K17="","",REPT("█",ROUND(MIN(1,MAX(0,K17))*10,0))&amp;REPT("░",10-ROUND(MIN(1,MAX(0,K17))*10,0)))</f>
        <v/>
      </c>
    </row>
    <row r="18">
      <c r="B18" s="27" t="n"/>
      <c r="C18" s="28" t="n"/>
      <c r="D18" s="15" t="n"/>
      <c r="E18" s="24" t="n"/>
      <c r="G18" s="10">
        <f>IF('Setup'!E16="","",'Setup'!E16)</f>
        <v/>
      </c>
      <c r="H18" s="20">
        <f>IF(G18="","",'Setup'!G16)</f>
        <v/>
      </c>
      <c r="I18" s="20">
        <f>IF(G18="","",SUMIFS($E$7:$E$86,$D$7:$D$86,G18))</f>
        <v/>
      </c>
      <c r="J18" s="20">
        <f>IF(G18="","",H18-I18)</f>
        <v/>
      </c>
      <c r="K18" s="30">
        <f>IF(OR(G18="",H18=0),"",I18/H18)</f>
        <v/>
      </c>
      <c r="L18" s="31">
        <f>IF(K18="","",REPT("█",ROUND(MIN(1,MAX(0,K18))*10,0))&amp;REPT("░",10-ROUND(MIN(1,MAX(0,K18))*10,0)))</f>
        <v/>
      </c>
    </row>
    <row r="19">
      <c r="B19" s="27" t="n"/>
      <c r="C19" s="28" t="n"/>
      <c r="D19" s="15" t="n"/>
      <c r="E19" s="24" t="n"/>
      <c r="G19" s="10">
        <f>IF('Setup'!E17="","",'Setup'!E17)</f>
        <v/>
      </c>
      <c r="H19" s="20">
        <f>IF(G19="","",'Setup'!G17)</f>
        <v/>
      </c>
      <c r="I19" s="20">
        <f>IF(G19="","",SUMIFS($E$7:$E$86,$D$7:$D$86,G19))</f>
        <v/>
      </c>
      <c r="J19" s="20">
        <f>IF(G19="","",H19-I19)</f>
        <v/>
      </c>
      <c r="K19" s="30">
        <f>IF(OR(G19="",H19=0),"",I19/H19)</f>
        <v/>
      </c>
      <c r="L19" s="31">
        <f>IF(K19="","",REPT("█",ROUND(MIN(1,MAX(0,K19))*10,0))&amp;REPT("░",10-ROUND(MIN(1,MAX(0,K19))*10,0)))</f>
        <v/>
      </c>
    </row>
    <row r="20">
      <c r="B20" s="27" t="n"/>
      <c r="C20" s="28" t="n"/>
      <c r="D20" s="15" t="n"/>
      <c r="E20" s="24" t="n"/>
      <c r="G20" s="10">
        <f>IF('Setup'!E18="","",'Setup'!E18)</f>
        <v/>
      </c>
      <c r="H20" s="20">
        <f>IF(G20="","",'Setup'!G18)</f>
        <v/>
      </c>
      <c r="I20" s="20">
        <f>IF(G20="","",SUMIFS($E$7:$E$86,$D$7:$D$86,G20))</f>
        <v/>
      </c>
      <c r="J20" s="20">
        <f>IF(G20="","",H20-I20)</f>
        <v/>
      </c>
      <c r="K20" s="30">
        <f>IF(OR(G20="",H20=0),"",I20/H20)</f>
        <v/>
      </c>
      <c r="L20" s="31">
        <f>IF(K20="","",REPT("█",ROUND(MIN(1,MAX(0,K20))*10,0))&amp;REPT("░",10-ROUND(MIN(1,MAX(0,K20))*10,0)))</f>
        <v/>
      </c>
    </row>
    <row r="21">
      <c r="B21" s="27" t="n"/>
      <c r="C21" s="28" t="n"/>
      <c r="D21" s="15" t="n"/>
      <c r="E21" s="24" t="n"/>
      <c r="G21" s="10">
        <f>IF('Setup'!E19="","",'Setup'!E19)</f>
        <v/>
      </c>
      <c r="H21" s="20">
        <f>IF(G21="","",'Setup'!G19)</f>
        <v/>
      </c>
      <c r="I21" s="20">
        <f>IF(G21="","",SUMIFS($E$7:$E$86,$D$7:$D$86,G21))</f>
        <v/>
      </c>
      <c r="J21" s="20">
        <f>IF(G21="","",H21-I21)</f>
        <v/>
      </c>
      <c r="K21" s="30">
        <f>IF(OR(G21="",H21=0),"",I21/H21)</f>
        <v/>
      </c>
      <c r="L21" s="31">
        <f>IF(K21="","",REPT("█",ROUND(MIN(1,MAX(0,K21))*10,0))&amp;REPT("░",10-ROUND(MIN(1,MAX(0,K21))*10,0)))</f>
        <v/>
      </c>
    </row>
    <row r="22">
      <c r="B22" s="27" t="n"/>
      <c r="C22" s="28" t="n"/>
      <c r="D22" s="15" t="n"/>
      <c r="E22" s="24" t="n"/>
      <c r="G22" s="10">
        <f>IF('Setup'!E20="","",'Setup'!E20)</f>
        <v/>
      </c>
      <c r="H22" s="20">
        <f>IF(G22="","",'Setup'!G20)</f>
        <v/>
      </c>
      <c r="I22" s="20">
        <f>IF(G22="","",SUMIFS($E$7:$E$86,$D$7:$D$86,G22))</f>
        <v/>
      </c>
      <c r="J22" s="20">
        <f>IF(G22="","",H22-I22)</f>
        <v/>
      </c>
      <c r="K22" s="30">
        <f>IF(OR(G22="",H22=0),"",I22/H22)</f>
        <v/>
      </c>
      <c r="L22" s="31">
        <f>IF(K22="","",REPT("█",ROUND(MIN(1,MAX(0,K22))*10,0))&amp;REPT("░",10-ROUND(MIN(1,MAX(0,K22))*10,0)))</f>
        <v/>
      </c>
    </row>
    <row r="23">
      <c r="B23" s="27" t="n"/>
      <c r="C23" s="28" t="n"/>
      <c r="D23" s="15" t="n"/>
      <c r="E23" s="24" t="n"/>
      <c r="G23" s="10">
        <f>IF('Setup'!E21="","",'Setup'!E21)</f>
        <v/>
      </c>
      <c r="H23" s="20">
        <f>IF(G23="","",'Setup'!G21)</f>
        <v/>
      </c>
      <c r="I23" s="20">
        <f>IF(G23="","",SUMIFS($E$7:$E$86,$D$7:$D$86,G23))</f>
        <v/>
      </c>
      <c r="J23" s="20">
        <f>IF(G23="","",H23-I23)</f>
        <v/>
      </c>
      <c r="K23" s="30">
        <f>IF(OR(G23="",H23=0),"",I23/H23)</f>
        <v/>
      </c>
      <c r="L23" s="31">
        <f>IF(K23="","",REPT("█",ROUND(MIN(1,MAX(0,K23))*10,0))&amp;REPT("░",10-ROUND(MIN(1,MAX(0,K23))*10,0)))</f>
        <v/>
      </c>
    </row>
    <row r="24">
      <c r="B24" s="27" t="n"/>
      <c r="C24" s="28" t="n"/>
      <c r="D24" s="15" t="n"/>
      <c r="E24" s="24" t="n"/>
      <c r="G24" s="10">
        <f>IF('Setup'!E22="","",'Setup'!E22)</f>
        <v/>
      </c>
      <c r="H24" s="20">
        <f>IF(G24="","",'Setup'!G22)</f>
        <v/>
      </c>
      <c r="I24" s="20">
        <f>IF(G24="","",SUMIFS($E$7:$E$86,$D$7:$D$86,G24))</f>
        <v/>
      </c>
      <c r="J24" s="20">
        <f>IF(G24="","",H24-I24)</f>
        <v/>
      </c>
      <c r="K24" s="30">
        <f>IF(OR(G24="",H24=0),"",I24/H24)</f>
        <v/>
      </c>
      <c r="L24" s="31">
        <f>IF(K24="","",REPT("█",ROUND(MIN(1,MAX(0,K24))*10,0))&amp;REPT("░",10-ROUND(MIN(1,MAX(0,K24))*10,0)))</f>
        <v/>
      </c>
    </row>
    <row r="25">
      <c r="B25" s="27" t="n"/>
      <c r="C25" s="28" t="n"/>
      <c r="D25" s="15" t="n"/>
      <c r="E25" s="24" t="n"/>
      <c r="G25" s="10">
        <f>IF('Setup'!E23="","",'Setup'!E23)</f>
        <v/>
      </c>
      <c r="H25" s="20">
        <f>IF(G25="","",'Setup'!G23)</f>
        <v/>
      </c>
      <c r="I25" s="20">
        <f>IF(G25="","",SUMIFS($E$7:$E$86,$D$7:$D$86,G25))</f>
        <v/>
      </c>
      <c r="J25" s="20">
        <f>IF(G25="","",H25-I25)</f>
        <v/>
      </c>
      <c r="K25" s="30">
        <f>IF(OR(G25="",H25=0),"",I25/H25)</f>
        <v/>
      </c>
      <c r="L25" s="31">
        <f>IF(K25="","",REPT("█",ROUND(MIN(1,MAX(0,K25))*10,0))&amp;REPT("░",10-ROUND(MIN(1,MAX(0,K25))*10,0)))</f>
        <v/>
      </c>
    </row>
    <row r="26">
      <c r="B26" s="27" t="n"/>
      <c r="C26" s="28" t="n"/>
      <c r="D26" s="15" t="n"/>
      <c r="E26" s="24" t="n"/>
      <c r="G26" s="10">
        <f>IF('Setup'!E24="","",'Setup'!E24)</f>
        <v/>
      </c>
      <c r="H26" s="20">
        <f>IF(G26="","",'Setup'!G24)</f>
        <v/>
      </c>
      <c r="I26" s="20">
        <f>IF(G26="","",SUMIFS($E$7:$E$86,$D$7:$D$86,G26))</f>
        <v/>
      </c>
      <c r="J26" s="20">
        <f>IF(G26="","",H26-I26)</f>
        <v/>
      </c>
      <c r="K26" s="30">
        <f>IF(OR(G26="",H26=0),"",I26/H26)</f>
        <v/>
      </c>
      <c r="L26" s="31">
        <f>IF(K26="","",REPT("█",ROUND(MIN(1,MAX(0,K26))*10,0))&amp;REPT("░",10-ROUND(MIN(1,MAX(0,K26))*10,0)))</f>
        <v/>
      </c>
    </row>
    <row r="27">
      <c r="B27" s="27" t="n"/>
      <c r="C27" s="28" t="n"/>
      <c r="D27" s="15" t="n"/>
      <c r="E27" s="24" t="n"/>
      <c r="G27" s="10">
        <f>IF('Setup'!E25="","",'Setup'!E25)</f>
        <v/>
      </c>
      <c r="H27" s="20">
        <f>IF(G27="","",'Setup'!G25)</f>
        <v/>
      </c>
      <c r="I27" s="20">
        <f>IF(G27="","",SUMIFS($E$7:$E$86,$D$7:$D$86,G27))</f>
        <v/>
      </c>
      <c r="J27" s="20">
        <f>IF(G27="","",H27-I27)</f>
        <v/>
      </c>
      <c r="K27" s="30">
        <f>IF(OR(G27="",H27=0),"",I27/H27)</f>
        <v/>
      </c>
      <c r="L27" s="31">
        <f>IF(K27="","",REPT("█",ROUND(MIN(1,MAX(0,K27))*10,0))&amp;REPT("░",10-ROUND(MIN(1,MAX(0,K27))*10,0)))</f>
        <v/>
      </c>
    </row>
    <row r="28">
      <c r="B28" s="27" t="n"/>
      <c r="C28" s="28" t="n"/>
      <c r="D28" s="15" t="n"/>
      <c r="E28" s="24" t="n"/>
      <c r="G28" s="10">
        <f>IF('Setup'!E26="","",'Setup'!E26)</f>
        <v/>
      </c>
      <c r="H28" s="20">
        <f>IF(G28="","",'Setup'!G26)</f>
        <v/>
      </c>
      <c r="I28" s="20">
        <f>IF(G28="","",SUMIFS($E$7:$E$86,$D$7:$D$86,G28))</f>
        <v/>
      </c>
      <c r="J28" s="20">
        <f>IF(G28="","",H28-I28)</f>
        <v/>
      </c>
      <c r="K28" s="30">
        <f>IF(OR(G28="",H28=0),"",I28/H28)</f>
        <v/>
      </c>
      <c r="L28" s="31">
        <f>IF(K28="","",REPT("█",ROUND(MIN(1,MAX(0,K28))*10,0))&amp;REPT("░",10-ROUND(MIN(1,MAX(0,K28))*10,0)))</f>
        <v/>
      </c>
    </row>
    <row r="29">
      <c r="B29" s="27" t="n"/>
      <c r="C29" s="28" t="n"/>
      <c r="D29" s="15" t="n"/>
      <c r="E29" s="24" t="n"/>
      <c r="G29" s="10">
        <f>IF('Setup'!E27="","",'Setup'!E27)</f>
        <v/>
      </c>
      <c r="H29" s="20">
        <f>IF(G29="","",'Setup'!G27)</f>
        <v/>
      </c>
      <c r="I29" s="20">
        <f>IF(G29="","",SUMIFS($E$7:$E$86,$D$7:$D$86,G29))</f>
        <v/>
      </c>
      <c r="J29" s="20">
        <f>IF(G29="","",H29-I29)</f>
        <v/>
      </c>
      <c r="K29" s="30">
        <f>IF(OR(G29="",H29=0),"",I29/H29)</f>
        <v/>
      </c>
      <c r="L29" s="31">
        <f>IF(K29="","",REPT("█",ROUND(MIN(1,MAX(0,K29))*10,0))&amp;REPT("░",10-ROUND(MIN(1,MAX(0,K29))*10,0)))</f>
        <v/>
      </c>
    </row>
    <row r="30">
      <c r="B30" s="27" t="n"/>
      <c r="C30" s="28" t="n"/>
      <c r="D30" s="15" t="n"/>
      <c r="E30" s="24" t="n"/>
      <c r="G30" s="10">
        <f>IF('Setup'!E28="","",'Setup'!E28)</f>
        <v/>
      </c>
      <c r="H30" s="20">
        <f>IF(G30="","",'Setup'!G28)</f>
        <v/>
      </c>
      <c r="I30" s="20">
        <f>IF(G30="","",SUMIFS($E$7:$E$86,$D$7:$D$86,G30))</f>
        <v/>
      </c>
      <c r="J30" s="20">
        <f>IF(G30="","",H30-I30)</f>
        <v/>
      </c>
      <c r="K30" s="30">
        <f>IF(OR(G30="",H30=0),"",I30/H30)</f>
        <v/>
      </c>
      <c r="L30" s="31">
        <f>IF(K30="","",REPT("█",ROUND(MIN(1,MAX(0,K30))*10,0))&amp;REPT("░",10-ROUND(MIN(1,MAX(0,K30))*10,0)))</f>
        <v/>
      </c>
    </row>
    <row r="31">
      <c r="B31" s="27" t="n"/>
      <c r="C31" s="28" t="n"/>
      <c r="D31" s="15" t="n"/>
      <c r="E31" s="24" t="n"/>
      <c r="G31" s="10">
        <f>IF('Setup'!E29="","",'Setup'!E29)</f>
        <v/>
      </c>
      <c r="H31" s="20">
        <f>IF(G31="","",'Setup'!G29)</f>
        <v/>
      </c>
      <c r="I31" s="20">
        <f>IF(G31="","",SUMIFS($E$7:$E$86,$D$7:$D$86,G31))</f>
        <v/>
      </c>
      <c r="J31" s="20">
        <f>IF(G31="","",H31-I31)</f>
        <v/>
      </c>
      <c r="K31" s="30">
        <f>IF(OR(G31="",H31=0),"",I31/H31)</f>
        <v/>
      </c>
      <c r="L31" s="31">
        <f>IF(K31="","",REPT("█",ROUND(MIN(1,MAX(0,K31))*10,0))&amp;REPT("░",10-ROUND(MIN(1,MAX(0,K31))*10,0)))</f>
        <v/>
      </c>
    </row>
    <row r="32">
      <c r="B32" s="27" t="n"/>
      <c r="C32" s="28" t="n"/>
      <c r="D32" s="15" t="n"/>
      <c r="E32" s="24" t="n"/>
      <c r="G32" s="10">
        <f>IF('Setup'!E30="","",'Setup'!E30)</f>
        <v/>
      </c>
      <c r="H32" s="20">
        <f>IF(G32="","",'Setup'!G30)</f>
        <v/>
      </c>
      <c r="I32" s="20">
        <f>IF(G32="","",SUMIFS($E$7:$E$86,$D$7:$D$86,G32))</f>
        <v/>
      </c>
      <c r="J32" s="20">
        <f>IF(G32="","",H32-I32)</f>
        <v/>
      </c>
      <c r="K32" s="30">
        <f>IF(OR(G32="",H32=0),"",I32/H32)</f>
        <v/>
      </c>
      <c r="L32" s="31">
        <f>IF(K32="","",REPT("█",ROUND(MIN(1,MAX(0,K32))*10,0))&amp;REPT("░",10-ROUND(MIN(1,MAX(0,K32))*10,0)))</f>
        <v/>
      </c>
    </row>
    <row r="33">
      <c r="B33" s="27" t="n"/>
      <c r="C33" s="28" t="n"/>
      <c r="D33" s="15" t="n"/>
      <c r="E33" s="24" t="n"/>
      <c r="G33" s="10">
        <f>IF('Setup'!E31="","",'Setup'!E31)</f>
        <v/>
      </c>
      <c r="H33" s="20">
        <f>IF(G33="","",'Setup'!G31)</f>
        <v/>
      </c>
      <c r="I33" s="20">
        <f>IF(G33="","",SUMIFS($E$7:$E$86,$D$7:$D$86,G33))</f>
        <v/>
      </c>
      <c r="J33" s="20">
        <f>IF(G33="","",H33-I33)</f>
        <v/>
      </c>
      <c r="K33" s="30">
        <f>IF(OR(G33="",H33=0),"",I33/H33)</f>
        <v/>
      </c>
      <c r="L33" s="31">
        <f>IF(K33="","",REPT("█",ROUND(MIN(1,MAX(0,K33))*10,0))&amp;REPT("░",10-ROUND(MIN(1,MAX(0,K33))*10,0)))</f>
        <v/>
      </c>
    </row>
    <row r="34">
      <c r="B34" s="27" t="n"/>
      <c r="C34" s="28" t="n"/>
      <c r="D34" s="15" t="n"/>
      <c r="E34" s="24" t="n"/>
      <c r="G34" s="10">
        <f>IF('Setup'!E32="","",'Setup'!E32)</f>
        <v/>
      </c>
      <c r="H34" s="20">
        <f>IF(G34="","",'Setup'!G32)</f>
        <v/>
      </c>
      <c r="I34" s="20">
        <f>IF(G34="","",SUMIFS($E$7:$E$86,$D$7:$D$86,G34))</f>
        <v/>
      </c>
      <c r="J34" s="20">
        <f>IF(G34="","",H34-I34)</f>
        <v/>
      </c>
      <c r="K34" s="30">
        <f>IF(OR(G34="",H34=0),"",I34/H34)</f>
        <v/>
      </c>
      <c r="L34" s="31">
        <f>IF(K34="","",REPT("█",ROUND(MIN(1,MAX(0,K34))*10,0))&amp;REPT("░",10-ROUND(MIN(1,MAX(0,K34))*10,0)))</f>
        <v/>
      </c>
    </row>
    <row r="35">
      <c r="B35" s="27" t="n"/>
      <c r="C35" s="28" t="n"/>
      <c r="D35" s="15" t="n"/>
      <c r="E35" s="24" t="n"/>
      <c r="G35" s="10">
        <f>IF('Setup'!E33="","",'Setup'!E33)</f>
        <v/>
      </c>
      <c r="H35" s="20">
        <f>IF(G35="","",'Setup'!G33)</f>
        <v/>
      </c>
      <c r="I35" s="20">
        <f>IF(G35="","",SUMIFS($E$7:$E$86,$D$7:$D$86,G35))</f>
        <v/>
      </c>
      <c r="J35" s="20">
        <f>IF(G35="","",H35-I35)</f>
        <v/>
      </c>
      <c r="K35" s="30">
        <f>IF(OR(G35="",H35=0),"",I35/H35)</f>
        <v/>
      </c>
      <c r="L35" s="31">
        <f>IF(K35="","",REPT("█",ROUND(MIN(1,MAX(0,K35))*10,0))&amp;REPT("░",10-ROUND(MIN(1,MAX(0,K35))*10,0)))</f>
        <v/>
      </c>
    </row>
    <row r="36">
      <c r="B36" s="27" t="n"/>
      <c r="C36" s="28" t="n"/>
      <c r="D36" s="15" t="n"/>
      <c r="E36" s="24" t="n"/>
      <c r="G36" s="10">
        <f>IF('Setup'!E34="","",'Setup'!E34)</f>
        <v/>
      </c>
      <c r="H36" s="20">
        <f>IF(G36="","",'Setup'!G34)</f>
        <v/>
      </c>
      <c r="I36" s="20">
        <f>IF(G36="","",SUMIFS($E$7:$E$86,$D$7:$D$86,G36))</f>
        <v/>
      </c>
      <c r="J36" s="20">
        <f>IF(G36="","",H36-I36)</f>
        <v/>
      </c>
      <c r="K36" s="30">
        <f>IF(OR(G36="",H36=0),"",I36/H36)</f>
        <v/>
      </c>
      <c r="L36" s="31">
        <f>IF(K36="","",REPT("█",ROUND(MIN(1,MAX(0,K36))*10,0))&amp;REPT("░",10-ROUND(MIN(1,MAX(0,K36))*10,0)))</f>
        <v/>
      </c>
    </row>
    <row r="37">
      <c r="B37" s="27" t="n"/>
      <c r="C37" s="28" t="n"/>
      <c r="D37" s="15" t="n"/>
      <c r="E37" s="24" t="n"/>
      <c r="G37" s="10">
        <f>IF('Setup'!E35="","",'Setup'!E35)</f>
        <v/>
      </c>
      <c r="H37" s="20">
        <f>IF(G37="","",'Setup'!G35)</f>
        <v/>
      </c>
      <c r="I37" s="20">
        <f>IF(G37="","",SUMIFS($E$7:$E$86,$D$7:$D$86,G37))</f>
        <v/>
      </c>
      <c r="J37" s="20">
        <f>IF(G37="","",H37-I37)</f>
        <v/>
      </c>
      <c r="K37" s="30">
        <f>IF(OR(G37="",H37=0),"",I37/H37)</f>
        <v/>
      </c>
      <c r="L37" s="31">
        <f>IF(K37="","",REPT("█",ROUND(MIN(1,MAX(0,K37))*10,0))&amp;REPT("░",10-ROUND(MIN(1,MAX(0,K37))*10,0)))</f>
        <v/>
      </c>
    </row>
    <row r="38">
      <c r="B38" s="27" t="n"/>
      <c r="C38" s="28" t="n"/>
      <c r="D38" s="15" t="n"/>
      <c r="E38" s="24" t="n"/>
      <c r="G38" s="10">
        <f>IF('Setup'!E36="","",'Setup'!E36)</f>
        <v/>
      </c>
      <c r="H38" s="20">
        <f>IF(G38="","",'Setup'!G36)</f>
        <v/>
      </c>
      <c r="I38" s="20">
        <f>IF(G38="","",SUMIFS($E$7:$E$86,$D$7:$D$86,G38))</f>
        <v/>
      </c>
      <c r="J38" s="20">
        <f>IF(G38="","",H38-I38)</f>
        <v/>
      </c>
      <c r="K38" s="30">
        <f>IF(OR(G38="",H38=0),"",I38/H38)</f>
        <v/>
      </c>
      <c r="L38" s="31">
        <f>IF(K38="","",REPT("█",ROUND(MIN(1,MAX(0,K38))*10,0))&amp;REPT("░",10-ROUND(MIN(1,MAX(0,K38))*10,0)))</f>
        <v/>
      </c>
    </row>
    <row r="39">
      <c r="B39" s="27" t="n"/>
      <c r="C39" s="28" t="n"/>
      <c r="D39" s="15" t="n"/>
      <c r="E39" s="24" t="n"/>
      <c r="G39" s="10">
        <f>IF('Setup'!E37="","",'Setup'!E37)</f>
        <v/>
      </c>
      <c r="H39" s="20">
        <f>IF(G39="","",'Setup'!G37)</f>
        <v/>
      </c>
      <c r="I39" s="20">
        <f>IF(G39="","",SUMIFS($E$7:$E$86,$D$7:$D$86,G39))</f>
        <v/>
      </c>
      <c r="J39" s="20">
        <f>IF(G39="","",H39-I39)</f>
        <v/>
      </c>
      <c r="K39" s="30">
        <f>IF(OR(G39="",H39=0),"",I39/H39)</f>
        <v/>
      </c>
      <c r="L39" s="31">
        <f>IF(K39="","",REPT("█",ROUND(MIN(1,MAX(0,K39))*10,0))&amp;REPT("░",10-ROUND(MIN(1,MAX(0,K39))*10,0)))</f>
        <v/>
      </c>
    </row>
    <row r="40">
      <c r="B40" s="27" t="n"/>
      <c r="C40" s="28" t="n"/>
      <c r="D40" s="15" t="n"/>
      <c r="E40" s="24" t="n"/>
      <c r="G40" s="10">
        <f>IF('Setup'!E38="","",'Setup'!E38)</f>
        <v/>
      </c>
      <c r="H40" s="20">
        <f>IF(G40="","",'Setup'!G38)</f>
        <v/>
      </c>
      <c r="I40" s="20">
        <f>IF(G40="","",SUMIFS($E$7:$E$86,$D$7:$D$86,G40))</f>
        <v/>
      </c>
      <c r="J40" s="20">
        <f>IF(G40="","",H40-I40)</f>
        <v/>
      </c>
      <c r="K40" s="30">
        <f>IF(OR(G40="",H40=0),"",I40/H40)</f>
        <v/>
      </c>
      <c r="L40" s="31">
        <f>IF(K40="","",REPT("█",ROUND(MIN(1,MAX(0,K40))*10,0))&amp;REPT("░",10-ROUND(MIN(1,MAX(0,K40))*10,0)))</f>
        <v/>
      </c>
    </row>
    <row r="41">
      <c r="B41" s="27" t="n"/>
      <c r="C41" s="28" t="n"/>
      <c r="D41" s="15" t="n"/>
      <c r="E41" s="24" t="n"/>
      <c r="G41" s="10">
        <f>IF('Setup'!E39="","",'Setup'!E39)</f>
        <v/>
      </c>
      <c r="H41" s="20">
        <f>IF(G41="","",'Setup'!G39)</f>
        <v/>
      </c>
      <c r="I41" s="20">
        <f>IF(G41="","",SUMIFS($E$7:$E$86,$D$7:$D$86,G41))</f>
        <v/>
      </c>
      <c r="J41" s="20">
        <f>IF(G41="","",H41-I41)</f>
        <v/>
      </c>
      <c r="K41" s="30">
        <f>IF(OR(G41="",H41=0),"",I41/H41)</f>
        <v/>
      </c>
      <c r="L41" s="31">
        <f>IF(K41="","",REPT("█",ROUND(MIN(1,MAX(0,K41))*10,0))&amp;REPT("░",10-ROUND(MIN(1,MAX(0,K41))*10,0)))</f>
        <v/>
      </c>
    </row>
    <row r="42">
      <c r="B42" s="27" t="n"/>
      <c r="C42" s="28" t="n"/>
      <c r="D42" s="15" t="n"/>
      <c r="E42" s="24" t="n"/>
    </row>
    <row r="43">
      <c r="B43" s="27" t="n"/>
      <c r="C43" s="28" t="n"/>
      <c r="D43" s="15" t="n"/>
      <c r="E43" s="24" t="n"/>
    </row>
    <row r="44">
      <c r="B44" s="27" t="n"/>
      <c r="C44" s="28" t="n"/>
      <c r="D44" s="15" t="n"/>
      <c r="E44" s="24" t="n"/>
    </row>
    <row r="45">
      <c r="B45" s="27" t="n"/>
      <c r="C45" s="28" t="n"/>
      <c r="D45" s="15" t="n"/>
      <c r="E45" s="24" t="n"/>
    </row>
    <row r="46">
      <c r="B46" s="27" t="n"/>
      <c r="C46" s="28" t="n"/>
      <c r="D46" s="15" t="n"/>
      <c r="E46" s="24" t="n"/>
    </row>
    <row r="47">
      <c r="B47" s="27" t="n"/>
      <c r="C47" s="28" t="n"/>
      <c r="D47" s="15" t="n"/>
      <c r="E47" s="24" t="n"/>
    </row>
    <row r="48">
      <c r="B48" s="27" t="n"/>
      <c r="C48" s="28" t="n"/>
      <c r="D48" s="15" t="n"/>
      <c r="E48" s="24" t="n"/>
    </row>
    <row r="49">
      <c r="B49" s="27" t="n"/>
      <c r="C49" s="28" t="n"/>
      <c r="D49" s="15" t="n"/>
      <c r="E49" s="24" t="n"/>
    </row>
    <row r="50">
      <c r="B50" s="27" t="n"/>
      <c r="C50" s="28" t="n"/>
      <c r="D50" s="15" t="n"/>
      <c r="E50" s="24" t="n"/>
    </row>
    <row r="51">
      <c r="B51" s="27" t="n"/>
      <c r="C51" s="28" t="n"/>
      <c r="D51" s="15" t="n"/>
      <c r="E51" s="24" t="n"/>
    </row>
    <row r="52">
      <c r="B52" s="27" t="n"/>
      <c r="C52" s="28" t="n"/>
      <c r="D52" s="15" t="n"/>
      <c r="E52" s="24" t="n"/>
    </row>
    <row r="53">
      <c r="B53" s="27" t="n"/>
      <c r="C53" s="28" t="n"/>
      <c r="D53" s="15" t="n"/>
      <c r="E53" s="24" t="n"/>
    </row>
    <row r="54">
      <c r="B54" s="27" t="n"/>
      <c r="C54" s="28" t="n"/>
      <c r="D54" s="15" t="n"/>
      <c r="E54" s="24" t="n"/>
    </row>
    <row r="55">
      <c r="B55" s="27" t="n"/>
      <c r="C55" s="28" t="n"/>
      <c r="D55" s="15" t="n"/>
      <c r="E55" s="24" t="n"/>
    </row>
    <row r="56">
      <c r="B56" s="27" t="n"/>
      <c r="C56" s="28" t="n"/>
      <c r="D56" s="15" t="n"/>
      <c r="E56" s="24" t="n"/>
    </row>
    <row r="57">
      <c r="B57" s="27" t="n"/>
      <c r="C57" s="28" t="n"/>
      <c r="D57" s="15" t="n"/>
      <c r="E57" s="24" t="n"/>
    </row>
    <row r="58">
      <c r="B58" s="27" t="n"/>
      <c r="C58" s="28" t="n"/>
      <c r="D58" s="15" t="n"/>
      <c r="E58" s="24" t="n"/>
    </row>
    <row r="59">
      <c r="B59" s="27" t="n"/>
      <c r="C59" s="28" t="n"/>
      <c r="D59" s="15" t="n"/>
      <c r="E59" s="24" t="n"/>
    </row>
    <row r="60">
      <c r="B60" s="27" t="n"/>
      <c r="C60" s="28" t="n"/>
      <c r="D60" s="15" t="n"/>
      <c r="E60" s="24" t="n"/>
    </row>
    <row r="61">
      <c r="B61" s="27" t="n"/>
      <c r="C61" s="28" t="n"/>
      <c r="D61" s="15" t="n"/>
      <c r="E61" s="24" t="n"/>
    </row>
    <row r="62">
      <c r="B62" s="27" t="n"/>
      <c r="C62" s="28" t="n"/>
      <c r="D62" s="15" t="n"/>
      <c r="E62" s="24" t="n"/>
    </row>
    <row r="63">
      <c r="B63" s="27" t="n"/>
      <c r="C63" s="28" t="n"/>
      <c r="D63" s="15" t="n"/>
      <c r="E63" s="24" t="n"/>
    </row>
    <row r="64">
      <c r="B64" s="27" t="n"/>
      <c r="C64" s="28" t="n"/>
      <c r="D64" s="15" t="n"/>
      <c r="E64" s="24" t="n"/>
    </row>
    <row r="65">
      <c r="B65" s="27" t="n"/>
      <c r="C65" s="28" t="n"/>
      <c r="D65" s="15" t="n"/>
      <c r="E65" s="24" t="n"/>
    </row>
    <row r="66">
      <c r="B66" s="27" t="n"/>
      <c r="C66" s="28" t="n"/>
      <c r="D66" s="15" t="n"/>
      <c r="E66" s="24" t="n"/>
    </row>
    <row r="67">
      <c r="B67" s="27" t="n"/>
      <c r="C67" s="28" t="n"/>
      <c r="D67" s="15" t="n"/>
      <c r="E67" s="24" t="n"/>
    </row>
    <row r="68">
      <c r="B68" s="27" t="n"/>
      <c r="C68" s="28" t="n"/>
      <c r="D68" s="15" t="n"/>
      <c r="E68" s="24" t="n"/>
    </row>
    <row r="69">
      <c r="B69" s="27" t="n"/>
      <c r="C69" s="28" t="n"/>
      <c r="D69" s="15" t="n"/>
      <c r="E69" s="24" t="n"/>
    </row>
    <row r="70">
      <c r="B70" s="27" t="n"/>
      <c r="C70" s="28" t="n"/>
      <c r="D70" s="15" t="n"/>
      <c r="E70" s="24" t="n"/>
    </row>
    <row r="71">
      <c r="B71" s="27" t="n"/>
      <c r="C71" s="28" t="n"/>
      <c r="D71" s="15" t="n"/>
      <c r="E71" s="24" t="n"/>
    </row>
    <row r="72">
      <c r="B72" s="27" t="n"/>
      <c r="C72" s="28" t="n"/>
      <c r="D72" s="15" t="n"/>
      <c r="E72" s="24" t="n"/>
    </row>
    <row r="73">
      <c r="B73" s="27" t="n"/>
      <c r="C73" s="28" t="n"/>
      <c r="D73" s="15" t="n"/>
      <c r="E73" s="24" t="n"/>
    </row>
    <row r="74">
      <c r="B74" s="27" t="n"/>
      <c r="C74" s="28" t="n"/>
      <c r="D74" s="15" t="n"/>
      <c r="E74" s="24" t="n"/>
    </row>
    <row r="75">
      <c r="B75" s="27" t="n"/>
      <c r="C75" s="28" t="n"/>
      <c r="D75" s="15" t="n"/>
      <c r="E75" s="24" t="n"/>
    </row>
    <row r="76">
      <c r="B76" s="27" t="n"/>
      <c r="C76" s="28" t="n"/>
      <c r="D76" s="15" t="n"/>
      <c r="E76" s="24" t="n"/>
    </row>
    <row r="77">
      <c r="B77" s="27" t="n"/>
      <c r="C77" s="28" t="n"/>
      <c r="D77" s="15" t="n"/>
      <c r="E77" s="24" t="n"/>
    </row>
    <row r="78">
      <c r="B78" s="27" t="n"/>
      <c r="C78" s="28" t="n"/>
      <c r="D78" s="15" t="n"/>
      <c r="E78" s="24" t="n"/>
    </row>
    <row r="79">
      <c r="B79" s="27" t="n"/>
      <c r="C79" s="28" t="n"/>
      <c r="D79" s="15" t="n"/>
      <c r="E79" s="24" t="n"/>
    </row>
    <row r="80">
      <c r="B80" s="27" t="n"/>
      <c r="C80" s="28" t="n"/>
      <c r="D80" s="15" t="n"/>
      <c r="E80" s="24" t="n"/>
    </row>
    <row r="81">
      <c r="B81" s="27" t="n"/>
      <c r="C81" s="28" t="n"/>
      <c r="D81" s="15" t="n"/>
      <c r="E81" s="24" t="n"/>
    </row>
    <row r="82">
      <c r="B82" s="27" t="n"/>
      <c r="C82" s="28" t="n"/>
      <c r="D82" s="15" t="n"/>
      <c r="E82" s="24" t="n"/>
    </row>
    <row r="83">
      <c r="B83" s="27" t="n"/>
      <c r="C83" s="28" t="n"/>
      <c r="D83" s="15" t="n"/>
      <c r="E83" s="24" t="n"/>
    </row>
    <row r="84">
      <c r="B84" s="27" t="n"/>
      <c r="C84" s="28" t="n"/>
      <c r="D84" s="15" t="n"/>
      <c r="E84" s="24" t="n"/>
    </row>
    <row r="85">
      <c r="B85" s="27" t="n"/>
      <c r="C85" s="28" t="n"/>
      <c r="D85" s="15" t="n"/>
      <c r="E85" s="24" t="n"/>
    </row>
    <row r="86">
      <c r="B86" s="27" t="n"/>
      <c r="C86" s="28" t="n"/>
      <c r="D86" s="15" t="n"/>
      <c r="E86" s="24" t="n"/>
    </row>
  </sheetData>
  <sheetProtection selectLockedCells="0" selectUnlockedCells="0" sheet="1" objects="0" insertRows="0" insertHyperlinks="1" autoFilter="0" scenarios="0" formatColumns="0" deleteColumns="1" insertColumns="1" pivotTables="1" deleteRows="1" formatCells="1" formatRows="0" sort="0"/>
  <conditionalFormatting sqref="H8">
    <cfRule type="cellIs" priority="1" operator="lessThan" dxfId="1">
      <formula>0</formula>
    </cfRule>
  </conditionalFormatting>
  <conditionalFormatting sqref="J12:J41">
    <cfRule type="cellIs" priority="2" operator="lessThan" dxfId="1">
      <formula>0</formula>
    </cfRule>
  </conditionalFormatting>
  <conditionalFormatting sqref="L12:L41">
    <cfRule type="expression" priority="3" dxfId="2">
      <formula>K12&gt;1</formula>
    </cfRule>
  </conditionalFormatting>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showDropDown="0" showInputMessage="0" showErrorMessage="0" allowBlank="1" type="list">
      <formula1>=Categories</formula1>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gridLines="0"/>
  <pageMargins left="0.75" right="0.75" top="1" bottom="1" header="0.5" footer="0.5"/>
  <pageSetup orientation="landscape" fitToHeight="1" fitToWidth="1"/>
</worksheet>
</file>

<file path=xl/worksheets/sheet12.xml><?xml version="1.0" encoding="utf-8"?>
<worksheet xmlns="http://schemas.openxmlformats.org/spreadsheetml/2006/main">
  <sheetPr>
    <tabColor rgb="002F6F5E"/>
    <outlinePr summaryBelow="1" summaryRight="1"/>
    <pageSetUpPr fitToPage="1"/>
  </sheetPr>
  <dimension ref="B2:L86"/>
  <sheetViews>
    <sheetView showGridLines="0" workbookViewId="0">
      <pane ySplit="6" topLeftCell="A7" activePane="bottomLeft" state="frozen"/>
      <selection pane="bottomLeft" activeCell="A1" sqref="A1"/>
    </sheetView>
  </sheetViews>
  <sheetFormatPr baseColWidth="8" defaultRowHeight="15"/>
  <cols>
    <col width="3" customWidth="1" min="1" max="1"/>
    <col width="12" customWidth="1" min="2" max="2"/>
    <col width="26" customWidth="1" min="3" max="3"/>
    <col width="22" customWidth="1" min="4" max="4"/>
    <col width="14" customWidth="1" min="5" max="5"/>
    <col width="14" customWidth="1" min="6" max="6"/>
    <col width="22" customWidth="1" min="7" max="7"/>
    <col width="13" customWidth="1" min="8" max="8"/>
    <col width="13" customWidth="1" min="9" max="9"/>
    <col width="13" customWidth="1" min="10" max="10"/>
    <col width="9"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September</t>
        </is>
      </c>
    </row>
    <row r="3">
      <c r="B3" s="2" t="inlineStr">
        <is>
          <t>Log what you spend. The summary on the right updates itself.</t>
        </is>
      </c>
    </row>
    <row r="4">
      <c r="B4" s="3" t="inlineStr">
        <is>
          <t>Start here</t>
        </is>
      </c>
      <c r="D4" s="3" t="inlineStr">
        <is>
          <t>Dashboard</t>
        </is>
      </c>
      <c r="E4" s="3" t="inlineStr">
        <is>
          <t>Setup</t>
        </is>
      </c>
      <c r="F4" s="3" t="inlineStr">
        <is>
          <t>Months</t>
        </is>
      </c>
      <c r="G4" s="3" t="inlineStr">
        <is>
          <t>Bills</t>
        </is>
      </c>
      <c r="H4" s="3" t="inlineStr">
        <is>
          <t>Paycheck</t>
        </is>
      </c>
      <c r="I4" s="3" t="inlineStr">
        <is>
          <t>Debt</t>
        </is>
      </c>
      <c r="J4" s="3" t="inlineStr">
        <is>
          <t>Savings</t>
        </is>
      </c>
    </row>
    <row r="6" ht="22" customHeight="1">
      <c r="B6" s="9" t="inlineStr">
        <is>
          <t>Date</t>
        </is>
      </c>
      <c r="C6" s="9" t="inlineStr">
        <is>
          <t>What</t>
        </is>
      </c>
      <c r="D6" s="9" t="inlineStr">
        <is>
          <t>Category</t>
        </is>
      </c>
      <c r="E6" s="9" t="inlineStr">
        <is>
          <t>Amount</t>
        </is>
      </c>
      <c r="G6" s="17" t="inlineStr">
        <is>
          <t>Income this month</t>
        </is>
      </c>
      <c r="H6" s="25">
        <f>'Setup'!$C$18</f>
        <v/>
      </c>
      <c r="I6" s="26" t="inlineStr">
        <is>
          <t>Type over this if your income was different</t>
        </is>
      </c>
    </row>
    <row r="7">
      <c r="B7" s="27" t="n"/>
      <c r="C7" s="28" t="n"/>
      <c r="D7" s="15" t="n"/>
      <c r="E7" s="24" t="n"/>
      <c r="G7" s="17" t="inlineStr">
        <is>
          <t>Spent</t>
        </is>
      </c>
      <c r="H7" s="29">
        <f>SUM(E7:E86)</f>
        <v/>
      </c>
    </row>
    <row r="8">
      <c r="B8" s="27" t="n"/>
      <c r="C8" s="28" t="n"/>
      <c r="D8" s="15" t="n"/>
      <c r="E8" s="24" t="n"/>
      <c r="G8" s="17" t="inlineStr">
        <is>
          <t>Left over</t>
        </is>
      </c>
      <c r="H8" s="29">
        <f>H6-H7</f>
        <v/>
      </c>
    </row>
    <row r="9">
      <c r="B9" s="27" t="n"/>
      <c r="C9" s="28" t="n"/>
      <c r="D9" s="15" t="n"/>
      <c r="E9" s="24" t="n"/>
      <c r="G9" s="17" t="inlineStr">
        <is>
          <t>Saved and debt paid</t>
        </is>
      </c>
      <c r="H9" s="29">
        <f>SUMPRODUCT(SUMIFS($E$7:$E$86,$D$7:$D$86,'Setup'!$E$10:$E$39)*(('Setup'!$F$10:$F$39="Savings")+('Setup'!$F$10:$F$39="Debt")))</f>
        <v/>
      </c>
    </row>
    <row r="10">
      <c r="B10" s="27" t="n"/>
      <c r="C10" s="28" t="n"/>
      <c r="D10" s="15" t="n"/>
      <c r="E10" s="24" t="n"/>
    </row>
    <row r="11" ht="22" customHeight="1">
      <c r="B11" s="27" t="n"/>
      <c r="C11" s="28" t="n"/>
      <c r="D11" s="15" t="n"/>
      <c r="E11" s="24" t="n"/>
      <c r="G11" s="9" t="inlineStr">
        <is>
          <t>Category</t>
        </is>
      </c>
      <c r="H11" s="9" t="inlineStr">
        <is>
          <t>Budget</t>
        </is>
      </c>
      <c r="I11" s="9" t="inlineStr">
        <is>
          <t>Spent</t>
        </is>
      </c>
      <c r="J11" s="9" t="inlineStr">
        <is>
          <t>Left</t>
        </is>
      </c>
      <c r="K11" s="9" t="inlineStr">
        <is>
          <t>Used</t>
        </is>
      </c>
      <c r="L11" s="9" t="inlineStr"/>
    </row>
    <row r="12">
      <c r="B12" s="27" t="n"/>
      <c r="C12" s="28" t="n"/>
      <c r="D12" s="15" t="n"/>
      <c r="E12" s="24" t="n"/>
      <c r="G12" s="10">
        <f>IF('Setup'!E10="","",'Setup'!E10)</f>
        <v/>
      </c>
      <c r="H12" s="20">
        <f>IF(G12="","",'Setup'!G10)</f>
        <v/>
      </c>
      <c r="I12" s="20">
        <f>IF(G12="","",SUMIFS($E$7:$E$86,$D$7:$D$86,G12))</f>
        <v/>
      </c>
      <c r="J12" s="20">
        <f>IF(G12="","",H12-I12)</f>
        <v/>
      </c>
      <c r="K12" s="30">
        <f>IF(OR(G12="",H12=0),"",I12/H12)</f>
        <v/>
      </c>
      <c r="L12" s="31">
        <f>IF(K12="","",REPT("█",ROUND(MIN(1,MAX(0,K12))*10,0))&amp;REPT("░",10-ROUND(MIN(1,MAX(0,K12))*10,0)))</f>
        <v/>
      </c>
    </row>
    <row r="13">
      <c r="B13" s="27" t="n"/>
      <c r="C13" s="28" t="n"/>
      <c r="D13" s="15" t="n"/>
      <c r="E13" s="24" t="n"/>
      <c r="G13" s="10">
        <f>IF('Setup'!E11="","",'Setup'!E11)</f>
        <v/>
      </c>
      <c r="H13" s="20">
        <f>IF(G13="","",'Setup'!G11)</f>
        <v/>
      </c>
      <c r="I13" s="20">
        <f>IF(G13="","",SUMIFS($E$7:$E$86,$D$7:$D$86,G13))</f>
        <v/>
      </c>
      <c r="J13" s="20">
        <f>IF(G13="","",H13-I13)</f>
        <v/>
      </c>
      <c r="K13" s="30">
        <f>IF(OR(G13="",H13=0),"",I13/H13)</f>
        <v/>
      </c>
      <c r="L13" s="31">
        <f>IF(K13="","",REPT("█",ROUND(MIN(1,MAX(0,K13))*10,0))&amp;REPT("░",10-ROUND(MIN(1,MAX(0,K13))*10,0)))</f>
        <v/>
      </c>
    </row>
    <row r="14">
      <c r="B14" s="27" t="n"/>
      <c r="C14" s="28" t="n"/>
      <c r="D14" s="15" t="n"/>
      <c r="E14" s="24" t="n"/>
      <c r="G14" s="10">
        <f>IF('Setup'!E12="","",'Setup'!E12)</f>
        <v/>
      </c>
      <c r="H14" s="20">
        <f>IF(G14="","",'Setup'!G12)</f>
        <v/>
      </c>
      <c r="I14" s="20">
        <f>IF(G14="","",SUMIFS($E$7:$E$86,$D$7:$D$86,G14))</f>
        <v/>
      </c>
      <c r="J14" s="20">
        <f>IF(G14="","",H14-I14)</f>
        <v/>
      </c>
      <c r="K14" s="30">
        <f>IF(OR(G14="",H14=0),"",I14/H14)</f>
        <v/>
      </c>
      <c r="L14" s="31">
        <f>IF(K14="","",REPT("█",ROUND(MIN(1,MAX(0,K14))*10,0))&amp;REPT("░",10-ROUND(MIN(1,MAX(0,K14))*10,0)))</f>
        <v/>
      </c>
    </row>
    <row r="15">
      <c r="B15" s="27" t="n"/>
      <c r="C15" s="28" t="n"/>
      <c r="D15" s="15" t="n"/>
      <c r="E15" s="24" t="n"/>
      <c r="G15" s="10">
        <f>IF('Setup'!E13="","",'Setup'!E13)</f>
        <v/>
      </c>
      <c r="H15" s="20">
        <f>IF(G15="","",'Setup'!G13)</f>
        <v/>
      </c>
      <c r="I15" s="20">
        <f>IF(G15="","",SUMIFS($E$7:$E$86,$D$7:$D$86,G15))</f>
        <v/>
      </c>
      <c r="J15" s="20">
        <f>IF(G15="","",H15-I15)</f>
        <v/>
      </c>
      <c r="K15" s="30">
        <f>IF(OR(G15="",H15=0),"",I15/H15)</f>
        <v/>
      </c>
      <c r="L15" s="31">
        <f>IF(K15="","",REPT("█",ROUND(MIN(1,MAX(0,K15))*10,0))&amp;REPT("░",10-ROUND(MIN(1,MAX(0,K15))*10,0)))</f>
        <v/>
      </c>
    </row>
    <row r="16">
      <c r="B16" s="27" t="n"/>
      <c r="C16" s="28" t="n"/>
      <c r="D16" s="15" t="n"/>
      <c r="E16" s="24" t="n"/>
      <c r="G16" s="10">
        <f>IF('Setup'!E14="","",'Setup'!E14)</f>
        <v/>
      </c>
      <c r="H16" s="20">
        <f>IF(G16="","",'Setup'!G14)</f>
        <v/>
      </c>
      <c r="I16" s="20">
        <f>IF(G16="","",SUMIFS($E$7:$E$86,$D$7:$D$86,G16))</f>
        <v/>
      </c>
      <c r="J16" s="20">
        <f>IF(G16="","",H16-I16)</f>
        <v/>
      </c>
      <c r="K16" s="30">
        <f>IF(OR(G16="",H16=0),"",I16/H16)</f>
        <v/>
      </c>
      <c r="L16" s="31">
        <f>IF(K16="","",REPT("█",ROUND(MIN(1,MAX(0,K16))*10,0))&amp;REPT("░",10-ROUND(MIN(1,MAX(0,K16))*10,0)))</f>
        <v/>
      </c>
    </row>
    <row r="17">
      <c r="B17" s="27" t="n"/>
      <c r="C17" s="28" t="n"/>
      <c r="D17" s="15" t="n"/>
      <c r="E17" s="24" t="n"/>
      <c r="G17" s="10">
        <f>IF('Setup'!E15="","",'Setup'!E15)</f>
        <v/>
      </c>
      <c r="H17" s="20">
        <f>IF(G17="","",'Setup'!G15)</f>
        <v/>
      </c>
      <c r="I17" s="20">
        <f>IF(G17="","",SUMIFS($E$7:$E$86,$D$7:$D$86,G17))</f>
        <v/>
      </c>
      <c r="J17" s="20">
        <f>IF(G17="","",H17-I17)</f>
        <v/>
      </c>
      <c r="K17" s="30">
        <f>IF(OR(G17="",H17=0),"",I17/H17)</f>
        <v/>
      </c>
      <c r="L17" s="31">
        <f>IF(K17="","",REPT("█",ROUND(MIN(1,MAX(0,K17))*10,0))&amp;REPT("░",10-ROUND(MIN(1,MAX(0,K17))*10,0)))</f>
        <v/>
      </c>
    </row>
    <row r="18">
      <c r="B18" s="27" t="n"/>
      <c r="C18" s="28" t="n"/>
      <c r="D18" s="15" t="n"/>
      <c r="E18" s="24" t="n"/>
      <c r="G18" s="10">
        <f>IF('Setup'!E16="","",'Setup'!E16)</f>
        <v/>
      </c>
      <c r="H18" s="20">
        <f>IF(G18="","",'Setup'!G16)</f>
        <v/>
      </c>
      <c r="I18" s="20">
        <f>IF(G18="","",SUMIFS($E$7:$E$86,$D$7:$D$86,G18))</f>
        <v/>
      </c>
      <c r="J18" s="20">
        <f>IF(G18="","",H18-I18)</f>
        <v/>
      </c>
      <c r="K18" s="30">
        <f>IF(OR(G18="",H18=0),"",I18/H18)</f>
        <v/>
      </c>
      <c r="L18" s="31">
        <f>IF(K18="","",REPT("█",ROUND(MIN(1,MAX(0,K18))*10,0))&amp;REPT("░",10-ROUND(MIN(1,MAX(0,K18))*10,0)))</f>
        <v/>
      </c>
    </row>
    <row r="19">
      <c r="B19" s="27" t="n"/>
      <c r="C19" s="28" t="n"/>
      <c r="D19" s="15" t="n"/>
      <c r="E19" s="24" t="n"/>
      <c r="G19" s="10">
        <f>IF('Setup'!E17="","",'Setup'!E17)</f>
        <v/>
      </c>
      <c r="H19" s="20">
        <f>IF(G19="","",'Setup'!G17)</f>
        <v/>
      </c>
      <c r="I19" s="20">
        <f>IF(G19="","",SUMIFS($E$7:$E$86,$D$7:$D$86,G19))</f>
        <v/>
      </c>
      <c r="J19" s="20">
        <f>IF(G19="","",H19-I19)</f>
        <v/>
      </c>
      <c r="K19" s="30">
        <f>IF(OR(G19="",H19=0),"",I19/H19)</f>
        <v/>
      </c>
      <c r="L19" s="31">
        <f>IF(K19="","",REPT("█",ROUND(MIN(1,MAX(0,K19))*10,0))&amp;REPT("░",10-ROUND(MIN(1,MAX(0,K19))*10,0)))</f>
        <v/>
      </c>
    </row>
    <row r="20">
      <c r="B20" s="27" t="n"/>
      <c r="C20" s="28" t="n"/>
      <c r="D20" s="15" t="n"/>
      <c r="E20" s="24" t="n"/>
      <c r="G20" s="10">
        <f>IF('Setup'!E18="","",'Setup'!E18)</f>
        <v/>
      </c>
      <c r="H20" s="20">
        <f>IF(G20="","",'Setup'!G18)</f>
        <v/>
      </c>
      <c r="I20" s="20">
        <f>IF(G20="","",SUMIFS($E$7:$E$86,$D$7:$D$86,G20))</f>
        <v/>
      </c>
      <c r="J20" s="20">
        <f>IF(G20="","",H20-I20)</f>
        <v/>
      </c>
      <c r="K20" s="30">
        <f>IF(OR(G20="",H20=0),"",I20/H20)</f>
        <v/>
      </c>
      <c r="L20" s="31">
        <f>IF(K20="","",REPT("█",ROUND(MIN(1,MAX(0,K20))*10,0))&amp;REPT("░",10-ROUND(MIN(1,MAX(0,K20))*10,0)))</f>
        <v/>
      </c>
    </row>
    <row r="21">
      <c r="B21" s="27" t="n"/>
      <c r="C21" s="28" t="n"/>
      <c r="D21" s="15" t="n"/>
      <c r="E21" s="24" t="n"/>
      <c r="G21" s="10">
        <f>IF('Setup'!E19="","",'Setup'!E19)</f>
        <v/>
      </c>
      <c r="H21" s="20">
        <f>IF(G21="","",'Setup'!G19)</f>
        <v/>
      </c>
      <c r="I21" s="20">
        <f>IF(G21="","",SUMIFS($E$7:$E$86,$D$7:$D$86,G21))</f>
        <v/>
      </c>
      <c r="J21" s="20">
        <f>IF(G21="","",H21-I21)</f>
        <v/>
      </c>
      <c r="K21" s="30">
        <f>IF(OR(G21="",H21=0),"",I21/H21)</f>
        <v/>
      </c>
      <c r="L21" s="31">
        <f>IF(K21="","",REPT("█",ROUND(MIN(1,MAX(0,K21))*10,0))&amp;REPT("░",10-ROUND(MIN(1,MAX(0,K21))*10,0)))</f>
        <v/>
      </c>
    </row>
    <row r="22">
      <c r="B22" s="27" t="n"/>
      <c r="C22" s="28" t="n"/>
      <c r="D22" s="15" t="n"/>
      <c r="E22" s="24" t="n"/>
      <c r="G22" s="10">
        <f>IF('Setup'!E20="","",'Setup'!E20)</f>
        <v/>
      </c>
      <c r="H22" s="20">
        <f>IF(G22="","",'Setup'!G20)</f>
        <v/>
      </c>
      <c r="I22" s="20">
        <f>IF(G22="","",SUMIFS($E$7:$E$86,$D$7:$D$86,G22))</f>
        <v/>
      </c>
      <c r="J22" s="20">
        <f>IF(G22="","",H22-I22)</f>
        <v/>
      </c>
      <c r="K22" s="30">
        <f>IF(OR(G22="",H22=0),"",I22/H22)</f>
        <v/>
      </c>
      <c r="L22" s="31">
        <f>IF(K22="","",REPT("█",ROUND(MIN(1,MAX(0,K22))*10,0))&amp;REPT("░",10-ROUND(MIN(1,MAX(0,K22))*10,0)))</f>
        <v/>
      </c>
    </row>
    <row r="23">
      <c r="B23" s="27" t="n"/>
      <c r="C23" s="28" t="n"/>
      <c r="D23" s="15" t="n"/>
      <c r="E23" s="24" t="n"/>
      <c r="G23" s="10">
        <f>IF('Setup'!E21="","",'Setup'!E21)</f>
        <v/>
      </c>
      <c r="H23" s="20">
        <f>IF(G23="","",'Setup'!G21)</f>
        <v/>
      </c>
      <c r="I23" s="20">
        <f>IF(G23="","",SUMIFS($E$7:$E$86,$D$7:$D$86,G23))</f>
        <v/>
      </c>
      <c r="J23" s="20">
        <f>IF(G23="","",H23-I23)</f>
        <v/>
      </c>
      <c r="K23" s="30">
        <f>IF(OR(G23="",H23=0),"",I23/H23)</f>
        <v/>
      </c>
      <c r="L23" s="31">
        <f>IF(K23="","",REPT("█",ROUND(MIN(1,MAX(0,K23))*10,0))&amp;REPT("░",10-ROUND(MIN(1,MAX(0,K23))*10,0)))</f>
        <v/>
      </c>
    </row>
    <row r="24">
      <c r="B24" s="27" t="n"/>
      <c r="C24" s="28" t="n"/>
      <c r="D24" s="15" t="n"/>
      <c r="E24" s="24" t="n"/>
      <c r="G24" s="10">
        <f>IF('Setup'!E22="","",'Setup'!E22)</f>
        <v/>
      </c>
      <c r="H24" s="20">
        <f>IF(G24="","",'Setup'!G22)</f>
        <v/>
      </c>
      <c r="I24" s="20">
        <f>IF(G24="","",SUMIFS($E$7:$E$86,$D$7:$D$86,G24))</f>
        <v/>
      </c>
      <c r="J24" s="20">
        <f>IF(G24="","",H24-I24)</f>
        <v/>
      </c>
      <c r="K24" s="30">
        <f>IF(OR(G24="",H24=0),"",I24/H24)</f>
        <v/>
      </c>
      <c r="L24" s="31">
        <f>IF(K24="","",REPT("█",ROUND(MIN(1,MAX(0,K24))*10,0))&amp;REPT("░",10-ROUND(MIN(1,MAX(0,K24))*10,0)))</f>
        <v/>
      </c>
    </row>
    <row r="25">
      <c r="B25" s="27" t="n"/>
      <c r="C25" s="28" t="n"/>
      <c r="D25" s="15" t="n"/>
      <c r="E25" s="24" t="n"/>
      <c r="G25" s="10">
        <f>IF('Setup'!E23="","",'Setup'!E23)</f>
        <v/>
      </c>
      <c r="H25" s="20">
        <f>IF(G25="","",'Setup'!G23)</f>
        <v/>
      </c>
      <c r="I25" s="20">
        <f>IF(G25="","",SUMIFS($E$7:$E$86,$D$7:$D$86,G25))</f>
        <v/>
      </c>
      <c r="J25" s="20">
        <f>IF(G25="","",H25-I25)</f>
        <v/>
      </c>
      <c r="K25" s="30">
        <f>IF(OR(G25="",H25=0),"",I25/H25)</f>
        <v/>
      </c>
      <c r="L25" s="31">
        <f>IF(K25="","",REPT("█",ROUND(MIN(1,MAX(0,K25))*10,0))&amp;REPT("░",10-ROUND(MIN(1,MAX(0,K25))*10,0)))</f>
        <v/>
      </c>
    </row>
    <row r="26">
      <c r="B26" s="27" t="n"/>
      <c r="C26" s="28" t="n"/>
      <c r="D26" s="15" t="n"/>
      <c r="E26" s="24" t="n"/>
      <c r="G26" s="10">
        <f>IF('Setup'!E24="","",'Setup'!E24)</f>
        <v/>
      </c>
      <c r="H26" s="20">
        <f>IF(G26="","",'Setup'!G24)</f>
        <v/>
      </c>
      <c r="I26" s="20">
        <f>IF(G26="","",SUMIFS($E$7:$E$86,$D$7:$D$86,G26))</f>
        <v/>
      </c>
      <c r="J26" s="20">
        <f>IF(G26="","",H26-I26)</f>
        <v/>
      </c>
      <c r="K26" s="30">
        <f>IF(OR(G26="",H26=0),"",I26/H26)</f>
        <v/>
      </c>
      <c r="L26" s="31">
        <f>IF(K26="","",REPT("█",ROUND(MIN(1,MAX(0,K26))*10,0))&amp;REPT("░",10-ROUND(MIN(1,MAX(0,K26))*10,0)))</f>
        <v/>
      </c>
    </row>
    <row r="27">
      <c r="B27" s="27" t="n"/>
      <c r="C27" s="28" t="n"/>
      <c r="D27" s="15" t="n"/>
      <c r="E27" s="24" t="n"/>
      <c r="G27" s="10">
        <f>IF('Setup'!E25="","",'Setup'!E25)</f>
        <v/>
      </c>
      <c r="H27" s="20">
        <f>IF(G27="","",'Setup'!G25)</f>
        <v/>
      </c>
      <c r="I27" s="20">
        <f>IF(G27="","",SUMIFS($E$7:$E$86,$D$7:$D$86,G27))</f>
        <v/>
      </c>
      <c r="J27" s="20">
        <f>IF(G27="","",H27-I27)</f>
        <v/>
      </c>
      <c r="K27" s="30">
        <f>IF(OR(G27="",H27=0),"",I27/H27)</f>
        <v/>
      </c>
      <c r="L27" s="31">
        <f>IF(K27="","",REPT("█",ROUND(MIN(1,MAX(0,K27))*10,0))&amp;REPT("░",10-ROUND(MIN(1,MAX(0,K27))*10,0)))</f>
        <v/>
      </c>
    </row>
    <row r="28">
      <c r="B28" s="27" t="n"/>
      <c r="C28" s="28" t="n"/>
      <c r="D28" s="15" t="n"/>
      <c r="E28" s="24" t="n"/>
      <c r="G28" s="10">
        <f>IF('Setup'!E26="","",'Setup'!E26)</f>
        <v/>
      </c>
      <c r="H28" s="20">
        <f>IF(G28="","",'Setup'!G26)</f>
        <v/>
      </c>
      <c r="I28" s="20">
        <f>IF(G28="","",SUMIFS($E$7:$E$86,$D$7:$D$86,G28))</f>
        <v/>
      </c>
      <c r="J28" s="20">
        <f>IF(G28="","",H28-I28)</f>
        <v/>
      </c>
      <c r="K28" s="30">
        <f>IF(OR(G28="",H28=0),"",I28/H28)</f>
        <v/>
      </c>
      <c r="L28" s="31">
        <f>IF(K28="","",REPT("█",ROUND(MIN(1,MAX(0,K28))*10,0))&amp;REPT("░",10-ROUND(MIN(1,MAX(0,K28))*10,0)))</f>
        <v/>
      </c>
    </row>
    <row r="29">
      <c r="B29" s="27" t="n"/>
      <c r="C29" s="28" t="n"/>
      <c r="D29" s="15" t="n"/>
      <c r="E29" s="24" t="n"/>
      <c r="G29" s="10">
        <f>IF('Setup'!E27="","",'Setup'!E27)</f>
        <v/>
      </c>
      <c r="H29" s="20">
        <f>IF(G29="","",'Setup'!G27)</f>
        <v/>
      </c>
      <c r="I29" s="20">
        <f>IF(G29="","",SUMIFS($E$7:$E$86,$D$7:$D$86,G29))</f>
        <v/>
      </c>
      <c r="J29" s="20">
        <f>IF(G29="","",H29-I29)</f>
        <v/>
      </c>
      <c r="K29" s="30">
        <f>IF(OR(G29="",H29=0),"",I29/H29)</f>
        <v/>
      </c>
      <c r="L29" s="31">
        <f>IF(K29="","",REPT("█",ROUND(MIN(1,MAX(0,K29))*10,0))&amp;REPT("░",10-ROUND(MIN(1,MAX(0,K29))*10,0)))</f>
        <v/>
      </c>
    </row>
    <row r="30">
      <c r="B30" s="27" t="n"/>
      <c r="C30" s="28" t="n"/>
      <c r="D30" s="15" t="n"/>
      <c r="E30" s="24" t="n"/>
      <c r="G30" s="10">
        <f>IF('Setup'!E28="","",'Setup'!E28)</f>
        <v/>
      </c>
      <c r="H30" s="20">
        <f>IF(G30="","",'Setup'!G28)</f>
        <v/>
      </c>
      <c r="I30" s="20">
        <f>IF(G30="","",SUMIFS($E$7:$E$86,$D$7:$D$86,G30))</f>
        <v/>
      </c>
      <c r="J30" s="20">
        <f>IF(G30="","",H30-I30)</f>
        <v/>
      </c>
      <c r="K30" s="30">
        <f>IF(OR(G30="",H30=0),"",I30/H30)</f>
        <v/>
      </c>
      <c r="L30" s="31">
        <f>IF(K30="","",REPT("█",ROUND(MIN(1,MAX(0,K30))*10,0))&amp;REPT("░",10-ROUND(MIN(1,MAX(0,K30))*10,0)))</f>
        <v/>
      </c>
    </row>
    <row r="31">
      <c r="B31" s="27" t="n"/>
      <c r="C31" s="28" t="n"/>
      <c r="D31" s="15" t="n"/>
      <c r="E31" s="24" t="n"/>
      <c r="G31" s="10">
        <f>IF('Setup'!E29="","",'Setup'!E29)</f>
        <v/>
      </c>
      <c r="H31" s="20">
        <f>IF(G31="","",'Setup'!G29)</f>
        <v/>
      </c>
      <c r="I31" s="20">
        <f>IF(G31="","",SUMIFS($E$7:$E$86,$D$7:$D$86,G31))</f>
        <v/>
      </c>
      <c r="J31" s="20">
        <f>IF(G31="","",H31-I31)</f>
        <v/>
      </c>
      <c r="K31" s="30">
        <f>IF(OR(G31="",H31=0),"",I31/H31)</f>
        <v/>
      </c>
      <c r="L31" s="31">
        <f>IF(K31="","",REPT("█",ROUND(MIN(1,MAX(0,K31))*10,0))&amp;REPT("░",10-ROUND(MIN(1,MAX(0,K31))*10,0)))</f>
        <v/>
      </c>
    </row>
    <row r="32">
      <c r="B32" s="27" t="n"/>
      <c r="C32" s="28" t="n"/>
      <c r="D32" s="15" t="n"/>
      <c r="E32" s="24" t="n"/>
      <c r="G32" s="10">
        <f>IF('Setup'!E30="","",'Setup'!E30)</f>
        <v/>
      </c>
      <c r="H32" s="20">
        <f>IF(G32="","",'Setup'!G30)</f>
        <v/>
      </c>
      <c r="I32" s="20">
        <f>IF(G32="","",SUMIFS($E$7:$E$86,$D$7:$D$86,G32))</f>
        <v/>
      </c>
      <c r="J32" s="20">
        <f>IF(G32="","",H32-I32)</f>
        <v/>
      </c>
      <c r="K32" s="30">
        <f>IF(OR(G32="",H32=0),"",I32/H32)</f>
        <v/>
      </c>
      <c r="L32" s="31">
        <f>IF(K32="","",REPT("█",ROUND(MIN(1,MAX(0,K32))*10,0))&amp;REPT("░",10-ROUND(MIN(1,MAX(0,K32))*10,0)))</f>
        <v/>
      </c>
    </row>
    <row r="33">
      <c r="B33" s="27" t="n"/>
      <c r="C33" s="28" t="n"/>
      <c r="D33" s="15" t="n"/>
      <c r="E33" s="24" t="n"/>
      <c r="G33" s="10">
        <f>IF('Setup'!E31="","",'Setup'!E31)</f>
        <v/>
      </c>
      <c r="H33" s="20">
        <f>IF(G33="","",'Setup'!G31)</f>
        <v/>
      </c>
      <c r="I33" s="20">
        <f>IF(G33="","",SUMIFS($E$7:$E$86,$D$7:$D$86,G33))</f>
        <v/>
      </c>
      <c r="J33" s="20">
        <f>IF(G33="","",H33-I33)</f>
        <v/>
      </c>
      <c r="K33" s="30">
        <f>IF(OR(G33="",H33=0),"",I33/H33)</f>
        <v/>
      </c>
      <c r="L33" s="31">
        <f>IF(K33="","",REPT("█",ROUND(MIN(1,MAX(0,K33))*10,0))&amp;REPT("░",10-ROUND(MIN(1,MAX(0,K33))*10,0)))</f>
        <v/>
      </c>
    </row>
    <row r="34">
      <c r="B34" s="27" t="n"/>
      <c r="C34" s="28" t="n"/>
      <c r="D34" s="15" t="n"/>
      <c r="E34" s="24" t="n"/>
      <c r="G34" s="10">
        <f>IF('Setup'!E32="","",'Setup'!E32)</f>
        <v/>
      </c>
      <c r="H34" s="20">
        <f>IF(G34="","",'Setup'!G32)</f>
        <v/>
      </c>
      <c r="I34" s="20">
        <f>IF(G34="","",SUMIFS($E$7:$E$86,$D$7:$D$86,G34))</f>
        <v/>
      </c>
      <c r="J34" s="20">
        <f>IF(G34="","",H34-I34)</f>
        <v/>
      </c>
      <c r="K34" s="30">
        <f>IF(OR(G34="",H34=0),"",I34/H34)</f>
        <v/>
      </c>
      <c r="L34" s="31">
        <f>IF(K34="","",REPT("█",ROUND(MIN(1,MAX(0,K34))*10,0))&amp;REPT("░",10-ROUND(MIN(1,MAX(0,K34))*10,0)))</f>
        <v/>
      </c>
    </row>
    <row r="35">
      <c r="B35" s="27" t="n"/>
      <c r="C35" s="28" t="n"/>
      <c r="D35" s="15" t="n"/>
      <c r="E35" s="24" t="n"/>
      <c r="G35" s="10">
        <f>IF('Setup'!E33="","",'Setup'!E33)</f>
        <v/>
      </c>
      <c r="H35" s="20">
        <f>IF(G35="","",'Setup'!G33)</f>
        <v/>
      </c>
      <c r="I35" s="20">
        <f>IF(G35="","",SUMIFS($E$7:$E$86,$D$7:$D$86,G35))</f>
        <v/>
      </c>
      <c r="J35" s="20">
        <f>IF(G35="","",H35-I35)</f>
        <v/>
      </c>
      <c r="K35" s="30">
        <f>IF(OR(G35="",H35=0),"",I35/H35)</f>
        <v/>
      </c>
      <c r="L35" s="31">
        <f>IF(K35="","",REPT("█",ROUND(MIN(1,MAX(0,K35))*10,0))&amp;REPT("░",10-ROUND(MIN(1,MAX(0,K35))*10,0)))</f>
        <v/>
      </c>
    </row>
    <row r="36">
      <c r="B36" s="27" t="n"/>
      <c r="C36" s="28" t="n"/>
      <c r="D36" s="15" t="n"/>
      <c r="E36" s="24" t="n"/>
      <c r="G36" s="10">
        <f>IF('Setup'!E34="","",'Setup'!E34)</f>
        <v/>
      </c>
      <c r="H36" s="20">
        <f>IF(G36="","",'Setup'!G34)</f>
        <v/>
      </c>
      <c r="I36" s="20">
        <f>IF(G36="","",SUMIFS($E$7:$E$86,$D$7:$D$86,G36))</f>
        <v/>
      </c>
      <c r="J36" s="20">
        <f>IF(G36="","",H36-I36)</f>
        <v/>
      </c>
      <c r="K36" s="30">
        <f>IF(OR(G36="",H36=0),"",I36/H36)</f>
        <v/>
      </c>
      <c r="L36" s="31">
        <f>IF(K36="","",REPT("█",ROUND(MIN(1,MAX(0,K36))*10,0))&amp;REPT("░",10-ROUND(MIN(1,MAX(0,K36))*10,0)))</f>
        <v/>
      </c>
    </row>
    <row r="37">
      <c r="B37" s="27" t="n"/>
      <c r="C37" s="28" t="n"/>
      <c r="D37" s="15" t="n"/>
      <c r="E37" s="24" t="n"/>
      <c r="G37" s="10">
        <f>IF('Setup'!E35="","",'Setup'!E35)</f>
        <v/>
      </c>
      <c r="H37" s="20">
        <f>IF(G37="","",'Setup'!G35)</f>
        <v/>
      </c>
      <c r="I37" s="20">
        <f>IF(G37="","",SUMIFS($E$7:$E$86,$D$7:$D$86,G37))</f>
        <v/>
      </c>
      <c r="J37" s="20">
        <f>IF(G37="","",H37-I37)</f>
        <v/>
      </c>
      <c r="K37" s="30">
        <f>IF(OR(G37="",H37=0),"",I37/H37)</f>
        <v/>
      </c>
      <c r="L37" s="31">
        <f>IF(K37="","",REPT("█",ROUND(MIN(1,MAX(0,K37))*10,0))&amp;REPT("░",10-ROUND(MIN(1,MAX(0,K37))*10,0)))</f>
        <v/>
      </c>
    </row>
    <row r="38">
      <c r="B38" s="27" t="n"/>
      <c r="C38" s="28" t="n"/>
      <c r="D38" s="15" t="n"/>
      <c r="E38" s="24" t="n"/>
      <c r="G38" s="10">
        <f>IF('Setup'!E36="","",'Setup'!E36)</f>
        <v/>
      </c>
      <c r="H38" s="20">
        <f>IF(G38="","",'Setup'!G36)</f>
        <v/>
      </c>
      <c r="I38" s="20">
        <f>IF(G38="","",SUMIFS($E$7:$E$86,$D$7:$D$86,G38))</f>
        <v/>
      </c>
      <c r="J38" s="20">
        <f>IF(G38="","",H38-I38)</f>
        <v/>
      </c>
      <c r="K38" s="30">
        <f>IF(OR(G38="",H38=0),"",I38/H38)</f>
        <v/>
      </c>
      <c r="L38" s="31">
        <f>IF(K38="","",REPT("█",ROUND(MIN(1,MAX(0,K38))*10,0))&amp;REPT("░",10-ROUND(MIN(1,MAX(0,K38))*10,0)))</f>
        <v/>
      </c>
    </row>
    <row r="39">
      <c r="B39" s="27" t="n"/>
      <c r="C39" s="28" t="n"/>
      <c r="D39" s="15" t="n"/>
      <c r="E39" s="24" t="n"/>
      <c r="G39" s="10">
        <f>IF('Setup'!E37="","",'Setup'!E37)</f>
        <v/>
      </c>
      <c r="H39" s="20">
        <f>IF(G39="","",'Setup'!G37)</f>
        <v/>
      </c>
      <c r="I39" s="20">
        <f>IF(G39="","",SUMIFS($E$7:$E$86,$D$7:$D$86,G39))</f>
        <v/>
      </c>
      <c r="J39" s="20">
        <f>IF(G39="","",H39-I39)</f>
        <v/>
      </c>
      <c r="K39" s="30">
        <f>IF(OR(G39="",H39=0),"",I39/H39)</f>
        <v/>
      </c>
      <c r="L39" s="31">
        <f>IF(K39="","",REPT("█",ROUND(MIN(1,MAX(0,K39))*10,0))&amp;REPT("░",10-ROUND(MIN(1,MAX(0,K39))*10,0)))</f>
        <v/>
      </c>
    </row>
    <row r="40">
      <c r="B40" s="27" t="n"/>
      <c r="C40" s="28" t="n"/>
      <c r="D40" s="15" t="n"/>
      <c r="E40" s="24" t="n"/>
      <c r="G40" s="10">
        <f>IF('Setup'!E38="","",'Setup'!E38)</f>
        <v/>
      </c>
      <c r="H40" s="20">
        <f>IF(G40="","",'Setup'!G38)</f>
        <v/>
      </c>
      <c r="I40" s="20">
        <f>IF(G40="","",SUMIFS($E$7:$E$86,$D$7:$D$86,G40))</f>
        <v/>
      </c>
      <c r="J40" s="20">
        <f>IF(G40="","",H40-I40)</f>
        <v/>
      </c>
      <c r="K40" s="30">
        <f>IF(OR(G40="",H40=0),"",I40/H40)</f>
        <v/>
      </c>
      <c r="L40" s="31">
        <f>IF(K40="","",REPT("█",ROUND(MIN(1,MAX(0,K40))*10,0))&amp;REPT("░",10-ROUND(MIN(1,MAX(0,K40))*10,0)))</f>
        <v/>
      </c>
    </row>
    <row r="41">
      <c r="B41" s="27" t="n"/>
      <c r="C41" s="28" t="n"/>
      <c r="D41" s="15" t="n"/>
      <c r="E41" s="24" t="n"/>
      <c r="G41" s="10">
        <f>IF('Setup'!E39="","",'Setup'!E39)</f>
        <v/>
      </c>
      <c r="H41" s="20">
        <f>IF(G41="","",'Setup'!G39)</f>
        <v/>
      </c>
      <c r="I41" s="20">
        <f>IF(G41="","",SUMIFS($E$7:$E$86,$D$7:$D$86,G41))</f>
        <v/>
      </c>
      <c r="J41" s="20">
        <f>IF(G41="","",H41-I41)</f>
        <v/>
      </c>
      <c r="K41" s="30">
        <f>IF(OR(G41="",H41=0),"",I41/H41)</f>
        <v/>
      </c>
      <c r="L41" s="31">
        <f>IF(K41="","",REPT("█",ROUND(MIN(1,MAX(0,K41))*10,0))&amp;REPT("░",10-ROUND(MIN(1,MAX(0,K41))*10,0)))</f>
        <v/>
      </c>
    </row>
    <row r="42">
      <c r="B42" s="27" t="n"/>
      <c r="C42" s="28" t="n"/>
      <c r="D42" s="15" t="n"/>
      <c r="E42" s="24" t="n"/>
    </row>
    <row r="43">
      <c r="B43" s="27" t="n"/>
      <c r="C43" s="28" t="n"/>
      <c r="D43" s="15" t="n"/>
      <c r="E43" s="24" t="n"/>
    </row>
    <row r="44">
      <c r="B44" s="27" t="n"/>
      <c r="C44" s="28" t="n"/>
      <c r="D44" s="15" t="n"/>
      <c r="E44" s="24" t="n"/>
    </row>
    <row r="45">
      <c r="B45" s="27" t="n"/>
      <c r="C45" s="28" t="n"/>
      <c r="D45" s="15" t="n"/>
      <c r="E45" s="24" t="n"/>
    </row>
    <row r="46">
      <c r="B46" s="27" t="n"/>
      <c r="C46" s="28" t="n"/>
      <c r="D46" s="15" t="n"/>
      <c r="E46" s="24" t="n"/>
    </row>
    <row r="47">
      <c r="B47" s="27" t="n"/>
      <c r="C47" s="28" t="n"/>
      <c r="D47" s="15" t="n"/>
      <c r="E47" s="24" t="n"/>
    </row>
    <row r="48">
      <c r="B48" s="27" t="n"/>
      <c r="C48" s="28" t="n"/>
      <c r="D48" s="15" t="n"/>
      <c r="E48" s="24" t="n"/>
    </row>
    <row r="49">
      <c r="B49" s="27" t="n"/>
      <c r="C49" s="28" t="n"/>
      <c r="D49" s="15" t="n"/>
      <c r="E49" s="24" t="n"/>
    </row>
    <row r="50">
      <c r="B50" s="27" t="n"/>
      <c r="C50" s="28" t="n"/>
      <c r="D50" s="15" t="n"/>
      <c r="E50" s="24" t="n"/>
    </row>
    <row r="51">
      <c r="B51" s="27" t="n"/>
      <c r="C51" s="28" t="n"/>
      <c r="D51" s="15" t="n"/>
      <c r="E51" s="24" t="n"/>
    </row>
    <row r="52">
      <c r="B52" s="27" t="n"/>
      <c r="C52" s="28" t="n"/>
      <c r="D52" s="15" t="n"/>
      <c r="E52" s="24" t="n"/>
    </row>
    <row r="53">
      <c r="B53" s="27" t="n"/>
      <c r="C53" s="28" t="n"/>
      <c r="D53" s="15" t="n"/>
      <c r="E53" s="24" t="n"/>
    </row>
    <row r="54">
      <c r="B54" s="27" t="n"/>
      <c r="C54" s="28" t="n"/>
      <c r="D54" s="15" t="n"/>
      <c r="E54" s="24" t="n"/>
    </row>
    <row r="55">
      <c r="B55" s="27" t="n"/>
      <c r="C55" s="28" t="n"/>
      <c r="D55" s="15" t="n"/>
      <c r="E55" s="24" t="n"/>
    </row>
    <row r="56">
      <c r="B56" s="27" t="n"/>
      <c r="C56" s="28" t="n"/>
      <c r="D56" s="15" t="n"/>
      <c r="E56" s="24" t="n"/>
    </row>
    <row r="57">
      <c r="B57" s="27" t="n"/>
      <c r="C57" s="28" t="n"/>
      <c r="D57" s="15" t="n"/>
      <c r="E57" s="24" t="n"/>
    </row>
    <row r="58">
      <c r="B58" s="27" t="n"/>
      <c r="C58" s="28" t="n"/>
      <c r="D58" s="15" t="n"/>
      <c r="E58" s="24" t="n"/>
    </row>
    <row r="59">
      <c r="B59" s="27" t="n"/>
      <c r="C59" s="28" t="n"/>
      <c r="D59" s="15" t="n"/>
      <c r="E59" s="24" t="n"/>
    </row>
    <row r="60">
      <c r="B60" s="27" t="n"/>
      <c r="C60" s="28" t="n"/>
      <c r="D60" s="15" t="n"/>
      <c r="E60" s="24" t="n"/>
    </row>
    <row r="61">
      <c r="B61" s="27" t="n"/>
      <c r="C61" s="28" t="n"/>
      <c r="D61" s="15" t="n"/>
      <c r="E61" s="24" t="n"/>
    </row>
    <row r="62">
      <c r="B62" s="27" t="n"/>
      <c r="C62" s="28" t="n"/>
      <c r="D62" s="15" t="n"/>
      <c r="E62" s="24" t="n"/>
    </row>
    <row r="63">
      <c r="B63" s="27" t="n"/>
      <c r="C63" s="28" t="n"/>
      <c r="D63" s="15" t="n"/>
      <c r="E63" s="24" t="n"/>
    </row>
    <row r="64">
      <c r="B64" s="27" t="n"/>
      <c r="C64" s="28" t="n"/>
      <c r="D64" s="15" t="n"/>
      <c r="E64" s="24" t="n"/>
    </row>
    <row r="65">
      <c r="B65" s="27" t="n"/>
      <c r="C65" s="28" t="n"/>
      <c r="D65" s="15" t="n"/>
      <c r="E65" s="24" t="n"/>
    </row>
    <row r="66">
      <c r="B66" s="27" t="n"/>
      <c r="C66" s="28" t="n"/>
      <c r="D66" s="15" t="n"/>
      <c r="E66" s="24" t="n"/>
    </row>
    <row r="67">
      <c r="B67" s="27" t="n"/>
      <c r="C67" s="28" t="n"/>
      <c r="D67" s="15" t="n"/>
      <c r="E67" s="24" t="n"/>
    </row>
    <row r="68">
      <c r="B68" s="27" t="n"/>
      <c r="C68" s="28" t="n"/>
      <c r="D68" s="15" t="n"/>
      <c r="E68" s="24" t="n"/>
    </row>
    <row r="69">
      <c r="B69" s="27" t="n"/>
      <c r="C69" s="28" t="n"/>
      <c r="D69" s="15" t="n"/>
      <c r="E69" s="24" t="n"/>
    </row>
    <row r="70">
      <c r="B70" s="27" t="n"/>
      <c r="C70" s="28" t="n"/>
      <c r="D70" s="15" t="n"/>
      <c r="E70" s="24" t="n"/>
    </row>
    <row r="71">
      <c r="B71" s="27" t="n"/>
      <c r="C71" s="28" t="n"/>
      <c r="D71" s="15" t="n"/>
      <c r="E71" s="24" t="n"/>
    </row>
    <row r="72">
      <c r="B72" s="27" t="n"/>
      <c r="C72" s="28" t="n"/>
      <c r="D72" s="15" t="n"/>
      <c r="E72" s="24" t="n"/>
    </row>
    <row r="73">
      <c r="B73" s="27" t="n"/>
      <c r="C73" s="28" t="n"/>
      <c r="D73" s="15" t="n"/>
      <c r="E73" s="24" t="n"/>
    </row>
    <row r="74">
      <c r="B74" s="27" t="n"/>
      <c r="C74" s="28" t="n"/>
      <c r="D74" s="15" t="n"/>
      <c r="E74" s="24" t="n"/>
    </row>
    <row r="75">
      <c r="B75" s="27" t="n"/>
      <c r="C75" s="28" t="n"/>
      <c r="D75" s="15" t="n"/>
      <c r="E75" s="24" t="n"/>
    </row>
    <row r="76">
      <c r="B76" s="27" t="n"/>
      <c r="C76" s="28" t="n"/>
      <c r="D76" s="15" t="n"/>
      <c r="E76" s="24" t="n"/>
    </row>
    <row r="77">
      <c r="B77" s="27" t="n"/>
      <c r="C77" s="28" t="n"/>
      <c r="D77" s="15" t="n"/>
      <c r="E77" s="24" t="n"/>
    </row>
    <row r="78">
      <c r="B78" s="27" t="n"/>
      <c r="C78" s="28" t="n"/>
      <c r="D78" s="15" t="n"/>
      <c r="E78" s="24" t="n"/>
    </row>
    <row r="79">
      <c r="B79" s="27" t="n"/>
      <c r="C79" s="28" t="n"/>
      <c r="D79" s="15" t="n"/>
      <c r="E79" s="24" t="n"/>
    </row>
    <row r="80">
      <c r="B80" s="27" t="n"/>
      <c r="C80" s="28" t="n"/>
      <c r="D80" s="15" t="n"/>
      <c r="E80" s="24" t="n"/>
    </row>
    <row r="81">
      <c r="B81" s="27" t="n"/>
      <c r="C81" s="28" t="n"/>
      <c r="D81" s="15" t="n"/>
      <c r="E81" s="24" t="n"/>
    </row>
    <row r="82">
      <c r="B82" s="27" t="n"/>
      <c r="C82" s="28" t="n"/>
      <c r="D82" s="15" t="n"/>
      <c r="E82" s="24" t="n"/>
    </row>
    <row r="83">
      <c r="B83" s="27" t="n"/>
      <c r="C83" s="28" t="n"/>
      <c r="D83" s="15" t="n"/>
      <c r="E83" s="24" t="n"/>
    </row>
    <row r="84">
      <c r="B84" s="27" t="n"/>
      <c r="C84" s="28" t="n"/>
      <c r="D84" s="15" t="n"/>
      <c r="E84" s="24" t="n"/>
    </row>
    <row r="85">
      <c r="B85" s="27" t="n"/>
      <c r="C85" s="28" t="n"/>
      <c r="D85" s="15" t="n"/>
      <c r="E85" s="24" t="n"/>
    </row>
    <row r="86">
      <c r="B86" s="27" t="n"/>
      <c r="C86" s="28" t="n"/>
      <c r="D86" s="15" t="n"/>
      <c r="E86" s="24" t="n"/>
    </row>
  </sheetData>
  <sheetProtection selectLockedCells="0" selectUnlockedCells="0" sheet="1" objects="0" insertRows="0" insertHyperlinks="1" autoFilter="0" scenarios="0" formatColumns="0" deleteColumns="1" insertColumns="1" pivotTables="1" deleteRows="1" formatCells="1" formatRows="0" sort="0"/>
  <conditionalFormatting sqref="H8">
    <cfRule type="cellIs" priority="1" operator="lessThan" dxfId="1">
      <formula>0</formula>
    </cfRule>
  </conditionalFormatting>
  <conditionalFormatting sqref="J12:J41">
    <cfRule type="cellIs" priority="2" operator="lessThan" dxfId="1">
      <formula>0</formula>
    </cfRule>
  </conditionalFormatting>
  <conditionalFormatting sqref="L12:L41">
    <cfRule type="expression" priority="3" dxfId="2">
      <formula>K12&gt;1</formula>
    </cfRule>
  </conditionalFormatting>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showDropDown="0" showInputMessage="0" showErrorMessage="0" allowBlank="1" type="list">
      <formula1>=Categories</formula1>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gridLines="0"/>
  <pageMargins left="0.75" right="0.75" top="1" bottom="1" header="0.5" footer="0.5"/>
  <pageSetup orientation="landscape" fitToHeight="1" fitToWidth="1"/>
</worksheet>
</file>

<file path=xl/worksheets/sheet13.xml><?xml version="1.0" encoding="utf-8"?>
<worksheet xmlns="http://schemas.openxmlformats.org/spreadsheetml/2006/main">
  <sheetPr>
    <tabColor rgb="002F6F5E"/>
    <outlinePr summaryBelow="1" summaryRight="1"/>
    <pageSetUpPr fitToPage="1"/>
  </sheetPr>
  <dimension ref="B2:L86"/>
  <sheetViews>
    <sheetView showGridLines="0" workbookViewId="0">
      <pane ySplit="6" topLeftCell="A7" activePane="bottomLeft" state="frozen"/>
      <selection pane="bottomLeft" activeCell="A1" sqref="A1"/>
    </sheetView>
  </sheetViews>
  <sheetFormatPr baseColWidth="8" defaultRowHeight="15"/>
  <cols>
    <col width="3" customWidth="1" min="1" max="1"/>
    <col width="12" customWidth="1" min="2" max="2"/>
    <col width="26" customWidth="1" min="3" max="3"/>
    <col width="22" customWidth="1" min="4" max="4"/>
    <col width="14" customWidth="1" min="5" max="5"/>
    <col width="14" customWidth="1" min="6" max="6"/>
    <col width="22" customWidth="1" min="7" max="7"/>
    <col width="13" customWidth="1" min="8" max="8"/>
    <col width="13" customWidth="1" min="9" max="9"/>
    <col width="13" customWidth="1" min="10" max="10"/>
    <col width="9"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October</t>
        </is>
      </c>
    </row>
    <row r="3">
      <c r="B3" s="2" t="inlineStr">
        <is>
          <t>Log what you spend. The summary on the right updates itself.</t>
        </is>
      </c>
    </row>
    <row r="4">
      <c r="B4" s="3" t="inlineStr">
        <is>
          <t>Start here</t>
        </is>
      </c>
      <c r="D4" s="3" t="inlineStr">
        <is>
          <t>Dashboard</t>
        </is>
      </c>
      <c r="E4" s="3" t="inlineStr">
        <is>
          <t>Setup</t>
        </is>
      </c>
      <c r="F4" s="3" t="inlineStr">
        <is>
          <t>Months</t>
        </is>
      </c>
      <c r="G4" s="3" t="inlineStr">
        <is>
          <t>Bills</t>
        </is>
      </c>
      <c r="H4" s="3" t="inlineStr">
        <is>
          <t>Paycheck</t>
        </is>
      </c>
      <c r="I4" s="3" t="inlineStr">
        <is>
          <t>Debt</t>
        </is>
      </c>
      <c r="J4" s="3" t="inlineStr">
        <is>
          <t>Savings</t>
        </is>
      </c>
    </row>
    <row r="6" ht="22" customHeight="1">
      <c r="B6" s="9" t="inlineStr">
        <is>
          <t>Date</t>
        </is>
      </c>
      <c r="C6" s="9" t="inlineStr">
        <is>
          <t>What</t>
        </is>
      </c>
      <c r="D6" s="9" t="inlineStr">
        <is>
          <t>Category</t>
        </is>
      </c>
      <c r="E6" s="9" t="inlineStr">
        <is>
          <t>Amount</t>
        </is>
      </c>
      <c r="G6" s="17" t="inlineStr">
        <is>
          <t>Income this month</t>
        </is>
      </c>
      <c r="H6" s="25">
        <f>'Setup'!$C$18</f>
        <v/>
      </c>
      <c r="I6" s="26" t="inlineStr">
        <is>
          <t>Type over this if your income was different</t>
        </is>
      </c>
    </row>
    <row r="7">
      <c r="B7" s="27" t="n"/>
      <c r="C7" s="28" t="n"/>
      <c r="D7" s="15" t="n"/>
      <c r="E7" s="24" t="n"/>
      <c r="G7" s="17" t="inlineStr">
        <is>
          <t>Spent</t>
        </is>
      </c>
      <c r="H7" s="29">
        <f>SUM(E7:E86)</f>
        <v/>
      </c>
    </row>
    <row r="8">
      <c r="B8" s="27" t="n"/>
      <c r="C8" s="28" t="n"/>
      <c r="D8" s="15" t="n"/>
      <c r="E8" s="24" t="n"/>
      <c r="G8" s="17" t="inlineStr">
        <is>
          <t>Left over</t>
        </is>
      </c>
      <c r="H8" s="29">
        <f>H6-H7</f>
        <v/>
      </c>
    </row>
    <row r="9">
      <c r="B9" s="27" t="n"/>
      <c r="C9" s="28" t="n"/>
      <c r="D9" s="15" t="n"/>
      <c r="E9" s="24" t="n"/>
      <c r="G9" s="17" t="inlineStr">
        <is>
          <t>Saved and debt paid</t>
        </is>
      </c>
      <c r="H9" s="29">
        <f>SUMPRODUCT(SUMIFS($E$7:$E$86,$D$7:$D$86,'Setup'!$E$10:$E$39)*(('Setup'!$F$10:$F$39="Savings")+('Setup'!$F$10:$F$39="Debt")))</f>
        <v/>
      </c>
    </row>
    <row r="10">
      <c r="B10" s="27" t="n"/>
      <c r="C10" s="28" t="n"/>
      <c r="D10" s="15" t="n"/>
      <c r="E10" s="24" t="n"/>
    </row>
    <row r="11" ht="22" customHeight="1">
      <c r="B11" s="27" t="n"/>
      <c r="C11" s="28" t="n"/>
      <c r="D11" s="15" t="n"/>
      <c r="E11" s="24" t="n"/>
      <c r="G11" s="9" t="inlineStr">
        <is>
          <t>Category</t>
        </is>
      </c>
      <c r="H11" s="9" t="inlineStr">
        <is>
          <t>Budget</t>
        </is>
      </c>
      <c r="I11" s="9" t="inlineStr">
        <is>
          <t>Spent</t>
        </is>
      </c>
      <c r="J11" s="9" t="inlineStr">
        <is>
          <t>Left</t>
        </is>
      </c>
      <c r="K11" s="9" t="inlineStr">
        <is>
          <t>Used</t>
        </is>
      </c>
      <c r="L11" s="9" t="inlineStr"/>
    </row>
    <row r="12">
      <c r="B12" s="27" t="n"/>
      <c r="C12" s="28" t="n"/>
      <c r="D12" s="15" t="n"/>
      <c r="E12" s="24" t="n"/>
      <c r="G12" s="10">
        <f>IF('Setup'!E10="","",'Setup'!E10)</f>
        <v/>
      </c>
      <c r="H12" s="20">
        <f>IF(G12="","",'Setup'!G10)</f>
        <v/>
      </c>
      <c r="I12" s="20">
        <f>IF(G12="","",SUMIFS($E$7:$E$86,$D$7:$D$86,G12))</f>
        <v/>
      </c>
      <c r="J12" s="20">
        <f>IF(G12="","",H12-I12)</f>
        <v/>
      </c>
      <c r="K12" s="30">
        <f>IF(OR(G12="",H12=0),"",I12/H12)</f>
        <v/>
      </c>
      <c r="L12" s="31">
        <f>IF(K12="","",REPT("█",ROUND(MIN(1,MAX(0,K12))*10,0))&amp;REPT("░",10-ROUND(MIN(1,MAX(0,K12))*10,0)))</f>
        <v/>
      </c>
    </row>
    <row r="13">
      <c r="B13" s="27" t="n"/>
      <c r="C13" s="28" t="n"/>
      <c r="D13" s="15" t="n"/>
      <c r="E13" s="24" t="n"/>
      <c r="G13" s="10">
        <f>IF('Setup'!E11="","",'Setup'!E11)</f>
        <v/>
      </c>
      <c r="H13" s="20">
        <f>IF(G13="","",'Setup'!G11)</f>
        <v/>
      </c>
      <c r="I13" s="20">
        <f>IF(G13="","",SUMIFS($E$7:$E$86,$D$7:$D$86,G13))</f>
        <v/>
      </c>
      <c r="J13" s="20">
        <f>IF(G13="","",H13-I13)</f>
        <v/>
      </c>
      <c r="K13" s="30">
        <f>IF(OR(G13="",H13=0),"",I13/H13)</f>
        <v/>
      </c>
      <c r="L13" s="31">
        <f>IF(K13="","",REPT("█",ROUND(MIN(1,MAX(0,K13))*10,0))&amp;REPT("░",10-ROUND(MIN(1,MAX(0,K13))*10,0)))</f>
        <v/>
      </c>
    </row>
    <row r="14">
      <c r="B14" s="27" t="n"/>
      <c r="C14" s="28" t="n"/>
      <c r="D14" s="15" t="n"/>
      <c r="E14" s="24" t="n"/>
      <c r="G14" s="10">
        <f>IF('Setup'!E12="","",'Setup'!E12)</f>
        <v/>
      </c>
      <c r="H14" s="20">
        <f>IF(G14="","",'Setup'!G12)</f>
        <v/>
      </c>
      <c r="I14" s="20">
        <f>IF(G14="","",SUMIFS($E$7:$E$86,$D$7:$D$86,G14))</f>
        <v/>
      </c>
      <c r="J14" s="20">
        <f>IF(G14="","",H14-I14)</f>
        <v/>
      </c>
      <c r="K14" s="30">
        <f>IF(OR(G14="",H14=0),"",I14/H14)</f>
        <v/>
      </c>
      <c r="L14" s="31">
        <f>IF(K14="","",REPT("█",ROUND(MIN(1,MAX(0,K14))*10,0))&amp;REPT("░",10-ROUND(MIN(1,MAX(0,K14))*10,0)))</f>
        <v/>
      </c>
    </row>
    <row r="15">
      <c r="B15" s="27" t="n"/>
      <c r="C15" s="28" t="n"/>
      <c r="D15" s="15" t="n"/>
      <c r="E15" s="24" t="n"/>
      <c r="G15" s="10">
        <f>IF('Setup'!E13="","",'Setup'!E13)</f>
        <v/>
      </c>
      <c r="H15" s="20">
        <f>IF(G15="","",'Setup'!G13)</f>
        <v/>
      </c>
      <c r="I15" s="20">
        <f>IF(G15="","",SUMIFS($E$7:$E$86,$D$7:$D$86,G15))</f>
        <v/>
      </c>
      <c r="J15" s="20">
        <f>IF(G15="","",H15-I15)</f>
        <v/>
      </c>
      <c r="K15" s="30">
        <f>IF(OR(G15="",H15=0),"",I15/H15)</f>
        <v/>
      </c>
      <c r="L15" s="31">
        <f>IF(K15="","",REPT("█",ROUND(MIN(1,MAX(0,K15))*10,0))&amp;REPT("░",10-ROUND(MIN(1,MAX(0,K15))*10,0)))</f>
        <v/>
      </c>
    </row>
    <row r="16">
      <c r="B16" s="27" t="n"/>
      <c r="C16" s="28" t="n"/>
      <c r="D16" s="15" t="n"/>
      <c r="E16" s="24" t="n"/>
      <c r="G16" s="10">
        <f>IF('Setup'!E14="","",'Setup'!E14)</f>
        <v/>
      </c>
      <c r="H16" s="20">
        <f>IF(G16="","",'Setup'!G14)</f>
        <v/>
      </c>
      <c r="I16" s="20">
        <f>IF(G16="","",SUMIFS($E$7:$E$86,$D$7:$D$86,G16))</f>
        <v/>
      </c>
      <c r="J16" s="20">
        <f>IF(G16="","",H16-I16)</f>
        <v/>
      </c>
      <c r="K16" s="30">
        <f>IF(OR(G16="",H16=0),"",I16/H16)</f>
        <v/>
      </c>
      <c r="L16" s="31">
        <f>IF(K16="","",REPT("█",ROUND(MIN(1,MAX(0,K16))*10,0))&amp;REPT("░",10-ROUND(MIN(1,MAX(0,K16))*10,0)))</f>
        <v/>
      </c>
    </row>
    <row r="17">
      <c r="B17" s="27" t="n"/>
      <c r="C17" s="28" t="n"/>
      <c r="D17" s="15" t="n"/>
      <c r="E17" s="24" t="n"/>
      <c r="G17" s="10">
        <f>IF('Setup'!E15="","",'Setup'!E15)</f>
        <v/>
      </c>
      <c r="H17" s="20">
        <f>IF(G17="","",'Setup'!G15)</f>
        <v/>
      </c>
      <c r="I17" s="20">
        <f>IF(G17="","",SUMIFS($E$7:$E$86,$D$7:$D$86,G17))</f>
        <v/>
      </c>
      <c r="J17" s="20">
        <f>IF(G17="","",H17-I17)</f>
        <v/>
      </c>
      <c r="K17" s="30">
        <f>IF(OR(G17="",H17=0),"",I17/H17)</f>
        <v/>
      </c>
      <c r="L17" s="31">
        <f>IF(K17="","",REPT("█",ROUND(MIN(1,MAX(0,K17))*10,0))&amp;REPT("░",10-ROUND(MIN(1,MAX(0,K17))*10,0)))</f>
        <v/>
      </c>
    </row>
    <row r="18">
      <c r="B18" s="27" t="n"/>
      <c r="C18" s="28" t="n"/>
      <c r="D18" s="15" t="n"/>
      <c r="E18" s="24" t="n"/>
      <c r="G18" s="10">
        <f>IF('Setup'!E16="","",'Setup'!E16)</f>
        <v/>
      </c>
      <c r="H18" s="20">
        <f>IF(G18="","",'Setup'!G16)</f>
        <v/>
      </c>
      <c r="I18" s="20">
        <f>IF(G18="","",SUMIFS($E$7:$E$86,$D$7:$D$86,G18))</f>
        <v/>
      </c>
      <c r="J18" s="20">
        <f>IF(G18="","",H18-I18)</f>
        <v/>
      </c>
      <c r="K18" s="30">
        <f>IF(OR(G18="",H18=0),"",I18/H18)</f>
        <v/>
      </c>
      <c r="L18" s="31">
        <f>IF(K18="","",REPT("█",ROUND(MIN(1,MAX(0,K18))*10,0))&amp;REPT("░",10-ROUND(MIN(1,MAX(0,K18))*10,0)))</f>
        <v/>
      </c>
    </row>
    <row r="19">
      <c r="B19" s="27" t="n"/>
      <c r="C19" s="28" t="n"/>
      <c r="D19" s="15" t="n"/>
      <c r="E19" s="24" t="n"/>
      <c r="G19" s="10">
        <f>IF('Setup'!E17="","",'Setup'!E17)</f>
        <v/>
      </c>
      <c r="H19" s="20">
        <f>IF(G19="","",'Setup'!G17)</f>
        <v/>
      </c>
      <c r="I19" s="20">
        <f>IF(G19="","",SUMIFS($E$7:$E$86,$D$7:$D$86,G19))</f>
        <v/>
      </c>
      <c r="J19" s="20">
        <f>IF(G19="","",H19-I19)</f>
        <v/>
      </c>
      <c r="K19" s="30">
        <f>IF(OR(G19="",H19=0),"",I19/H19)</f>
        <v/>
      </c>
      <c r="L19" s="31">
        <f>IF(K19="","",REPT("█",ROUND(MIN(1,MAX(0,K19))*10,0))&amp;REPT("░",10-ROUND(MIN(1,MAX(0,K19))*10,0)))</f>
        <v/>
      </c>
    </row>
    <row r="20">
      <c r="B20" s="27" t="n"/>
      <c r="C20" s="28" t="n"/>
      <c r="D20" s="15" t="n"/>
      <c r="E20" s="24" t="n"/>
      <c r="G20" s="10">
        <f>IF('Setup'!E18="","",'Setup'!E18)</f>
        <v/>
      </c>
      <c r="H20" s="20">
        <f>IF(G20="","",'Setup'!G18)</f>
        <v/>
      </c>
      <c r="I20" s="20">
        <f>IF(G20="","",SUMIFS($E$7:$E$86,$D$7:$D$86,G20))</f>
        <v/>
      </c>
      <c r="J20" s="20">
        <f>IF(G20="","",H20-I20)</f>
        <v/>
      </c>
      <c r="K20" s="30">
        <f>IF(OR(G20="",H20=0),"",I20/H20)</f>
        <v/>
      </c>
      <c r="L20" s="31">
        <f>IF(K20="","",REPT("█",ROUND(MIN(1,MAX(0,K20))*10,0))&amp;REPT("░",10-ROUND(MIN(1,MAX(0,K20))*10,0)))</f>
        <v/>
      </c>
    </row>
    <row r="21">
      <c r="B21" s="27" t="n"/>
      <c r="C21" s="28" t="n"/>
      <c r="D21" s="15" t="n"/>
      <c r="E21" s="24" t="n"/>
      <c r="G21" s="10">
        <f>IF('Setup'!E19="","",'Setup'!E19)</f>
        <v/>
      </c>
      <c r="H21" s="20">
        <f>IF(G21="","",'Setup'!G19)</f>
        <v/>
      </c>
      <c r="I21" s="20">
        <f>IF(G21="","",SUMIFS($E$7:$E$86,$D$7:$D$86,G21))</f>
        <v/>
      </c>
      <c r="J21" s="20">
        <f>IF(G21="","",H21-I21)</f>
        <v/>
      </c>
      <c r="K21" s="30">
        <f>IF(OR(G21="",H21=0),"",I21/H21)</f>
        <v/>
      </c>
      <c r="L21" s="31">
        <f>IF(K21="","",REPT("█",ROUND(MIN(1,MAX(0,K21))*10,0))&amp;REPT("░",10-ROUND(MIN(1,MAX(0,K21))*10,0)))</f>
        <v/>
      </c>
    </row>
    <row r="22">
      <c r="B22" s="27" t="n"/>
      <c r="C22" s="28" t="n"/>
      <c r="D22" s="15" t="n"/>
      <c r="E22" s="24" t="n"/>
      <c r="G22" s="10">
        <f>IF('Setup'!E20="","",'Setup'!E20)</f>
        <v/>
      </c>
      <c r="H22" s="20">
        <f>IF(G22="","",'Setup'!G20)</f>
        <v/>
      </c>
      <c r="I22" s="20">
        <f>IF(G22="","",SUMIFS($E$7:$E$86,$D$7:$D$86,G22))</f>
        <v/>
      </c>
      <c r="J22" s="20">
        <f>IF(G22="","",H22-I22)</f>
        <v/>
      </c>
      <c r="K22" s="30">
        <f>IF(OR(G22="",H22=0),"",I22/H22)</f>
        <v/>
      </c>
      <c r="L22" s="31">
        <f>IF(K22="","",REPT("█",ROUND(MIN(1,MAX(0,K22))*10,0))&amp;REPT("░",10-ROUND(MIN(1,MAX(0,K22))*10,0)))</f>
        <v/>
      </c>
    </row>
    <row r="23">
      <c r="B23" s="27" t="n"/>
      <c r="C23" s="28" t="n"/>
      <c r="D23" s="15" t="n"/>
      <c r="E23" s="24" t="n"/>
      <c r="G23" s="10">
        <f>IF('Setup'!E21="","",'Setup'!E21)</f>
        <v/>
      </c>
      <c r="H23" s="20">
        <f>IF(G23="","",'Setup'!G21)</f>
        <v/>
      </c>
      <c r="I23" s="20">
        <f>IF(G23="","",SUMIFS($E$7:$E$86,$D$7:$D$86,G23))</f>
        <v/>
      </c>
      <c r="J23" s="20">
        <f>IF(G23="","",H23-I23)</f>
        <v/>
      </c>
      <c r="K23" s="30">
        <f>IF(OR(G23="",H23=0),"",I23/H23)</f>
        <v/>
      </c>
      <c r="L23" s="31">
        <f>IF(K23="","",REPT("█",ROUND(MIN(1,MAX(0,K23))*10,0))&amp;REPT("░",10-ROUND(MIN(1,MAX(0,K23))*10,0)))</f>
        <v/>
      </c>
    </row>
    <row r="24">
      <c r="B24" s="27" t="n"/>
      <c r="C24" s="28" t="n"/>
      <c r="D24" s="15" t="n"/>
      <c r="E24" s="24" t="n"/>
      <c r="G24" s="10">
        <f>IF('Setup'!E22="","",'Setup'!E22)</f>
        <v/>
      </c>
      <c r="H24" s="20">
        <f>IF(G24="","",'Setup'!G22)</f>
        <v/>
      </c>
      <c r="I24" s="20">
        <f>IF(G24="","",SUMIFS($E$7:$E$86,$D$7:$D$86,G24))</f>
        <v/>
      </c>
      <c r="J24" s="20">
        <f>IF(G24="","",H24-I24)</f>
        <v/>
      </c>
      <c r="K24" s="30">
        <f>IF(OR(G24="",H24=0),"",I24/H24)</f>
        <v/>
      </c>
      <c r="L24" s="31">
        <f>IF(K24="","",REPT("█",ROUND(MIN(1,MAX(0,K24))*10,0))&amp;REPT("░",10-ROUND(MIN(1,MAX(0,K24))*10,0)))</f>
        <v/>
      </c>
    </row>
    <row r="25">
      <c r="B25" s="27" t="n"/>
      <c r="C25" s="28" t="n"/>
      <c r="D25" s="15" t="n"/>
      <c r="E25" s="24" t="n"/>
      <c r="G25" s="10">
        <f>IF('Setup'!E23="","",'Setup'!E23)</f>
        <v/>
      </c>
      <c r="H25" s="20">
        <f>IF(G25="","",'Setup'!G23)</f>
        <v/>
      </c>
      <c r="I25" s="20">
        <f>IF(G25="","",SUMIFS($E$7:$E$86,$D$7:$D$86,G25))</f>
        <v/>
      </c>
      <c r="J25" s="20">
        <f>IF(G25="","",H25-I25)</f>
        <v/>
      </c>
      <c r="K25" s="30">
        <f>IF(OR(G25="",H25=0),"",I25/H25)</f>
        <v/>
      </c>
      <c r="L25" s="31">
        <f>IF(K25="","",REPT("█",ROUND(MIN(1,MAX(0,K25))*10,0))&amp;REPT("░",10-ROUND(MIN(1,MAX(0,K25))*10,0)))</f>
        <v/>
      </c>
    </row>
    <row r="26">
      <c r="B26" s="27" t="n"/>
      <c r="C26" s="28" t="n"/>
      <c r="D26" s="15" t="n"/>
      <c r="E26" s="24" t="n"/>
      <c r="G26" s="10">
        <f>IF('Setup'!E24="","",'Setup'!E24)</f>
        <v/>
      </c>
      <c r="H26" s="20">
        <f>IF(G26="","",'Setup'!G24)</f>
        <v/>
      </c>
      <c r="I26" s="20">
        <f>IF(G26="","",SUMIFS($E$7:$E$86,$D$7:$D$86,G26))</f>
        <v/>
      </c>
      <c r="J26" s="20">
        <f>IF(G26="","",H26-I26)</f>
        <v/>
      </c>
      <c r="K26" s="30">
        <f>IF(OR(G26="",H26=0),"",I26/H26)</f>
        <v/>
      </c>
      <c r="L26" s="31">
        <f>IF(K26="","",REPT("█",ROUND(MIN(1,MAX(0,K26))*10,0))&amp;REPT("░",10-ROUND(MIN(1,MAX(0,K26))*10,0)))</f>
        <v/>
      </c>
    </row>
    <row r="27">
      <c r="B27" s="27" t="n"/>
      <c r="C27" s="28" t="n"/>
      <c r="D27" s="15" t="n"/>
      <c r="E27" s="24" t="n"/>
      <c r="G27" s="10">
        <f>IF('Setup'!E25="","",'Setup'!E25)</f>
        <v/>
      </c>
      <c r="H27" s="20">
        <f>IF(G27="","",'Setup'!G25)</f>
        <v/>
      </c>
      <c r="I27" s="20">
        <f>IF(G27="","",SUMIFS($E$7:$E$86,$D$7:$D$86,G27))</f>
        <v/>
      </c>
      <c r="J27" s="20">
        <f>IF(G27="","",H27-I27)</f>
        <v/>
      </c>
      <c r="K27" s="30">
        <f>IF(OR(G27="",H27=0),"",I27/H27)</f>
        <v/>
      </c>
      <c r="L27" s="31">
        <f>IF(K27="","",REPT("█",ROUND(MIN(1,MAX(0,K27))*10,0))&amp;REPT("░",10-ROUND(MIN(1,MAX(0,K27))*10,0)))</f>
        <v/>
      </c>
    </row>
    <row r="28">
      <c r="B28" s="27" t="n"/>
      <c r="C28" s="28" t="n"/>
      <c r="D28" s="15" t="n"/>
      <c r="E28" s="24" t="n"/>
      <c r="G28" s="10">
        <f>IF('Setup'!E26="","",'Setup'!E26)</f>
        <v/>
      </c>
      <c r="H28" s="20">
        <f>IF(G28="","",'Setup'!G26)</f>
        <v/>
      </c>
      <c r="I28" s="20">
        <f>IF(G28="","",SUMIFS($E$7:$E$86,$D$7:$D$86,G28))</f>
        <v/>
      </c>
      <c r="J28" s="20">
        <f>IF(G28="","",H28-I28)</f>
        <v/>
      </c>
      <c r="K28" s="30">
        <f>IF(OR(G28="",H28=0),"",I28/H28)</f>
        <v/>
      </c>
      <c r="L28" s="31">
        <f>IF(K28="","",REPT("█",ROUND(MIN(1,MAX(0,K28))*10,0))&amp;REPT("░",10-ROUND(MIN(1,MAX(0,K28))*10,0)))</f>
        <v/>
      </c>
    </row>
    <row r="29">
      <c r="B29" s="27" t="n"/>
      <c r="C29" s="28" t="n"/>
      <c r="D29" s="15" t="n"/>
      <c r="E29" s="24" t="n"/>
      <c r="G29" s="10">
        <f>IF('Setup'!E27="","",'Setup'!E27)</f>
        <v/>
      </c>
      <c r="H29" s="20">
        <f>IF(G29="","",'Setup'!G27)</f>
        <v/>
      </c>
      <c r="I29" s="20">
        <f>IF(G29="","",SUMIFS($E$7:$E$86,$D$7:$D$86,G29))</f>
        <v/>
      </c>
      <c r="J29" s="20">
        <f>IF(G29="","",H29-I29)</f>
        <v/>
      </c>
      <c r="K29" s="30">
        <f>IF(OR(G29="",H29=0),"",I29/H29)</f>
        <v/>
      </c>
      <c r="L29" s="31">
        <f>IF(K29="","",REPT("█",ROUND(MIN(1,MAX(0,K29))*10,0))&amp;REPT("░",10-ROUND(MIN(1,MAX(0,K29))*10,0)))</f>
        <v/>
      </c>
    </row>
    <row r="30">
      <c r="B30" s="27" t="n"/>
      <c r="C30" s="28" t="n"/>
      <c r="D30" s="15" t="n"/>
      <c r="E30" s="24" t="n"/>
      <c r="G30" s="10">
        <f>IF('Setup'!E28="","",'Setup'!E28)</f>
        <v/>
      </c>
      <c r="H30" s="20">
        <f>IF(G30="","",'Setup'!G28)</f>
        <v/>
      </c>
      <c r="I30" s="20">
        <f>IF(G30="","",SUMIFS($E$7:$E$86,$D$7:$D$86,G30))</f>
        <v/>
      </c>
      <c r="J30" s="20">
        <f>IF(G30="","",H30-I30)</f>
        <v/>
      </c>
      <c r="K30" s="30">
        <f>IF(OR(G30="",H30=0),"",I30/H30)</f>
        <v/>
      </c>
      <c r="L30" s="31">
        <f>IF(K30="","",REPT("█",ROUND(MIN(1,MAX(0,K30))*10,0))&amp;REPT("░",10-ROUND(MIN(1,MAX(0,K30))*10,0)))</f>
        <v/>
      </c>
    </row>
    <row r="31">
      <c r="B31" s="27" t="n"/>
      <c r="C31" s="28" t="n"/>
      <c r="D31" s="15" t="n"/>
      <c r="E31" s="24" t="n"/>
      <c r="G31" s="10">
        <f>IF('Setup'!E29="","",'Setup'!E29)</f>
        <v/>
      </c>
      <c r="H31" s="20">
        <f>IF(G31="","",'Setup'!G29)</f>
        <v/>
      </c>
      <c r="I31" s="20">
        <f>IF(G31="","",SUMIFS($E$7:$E$86,$D$7:$D$86,G31))</f>
        <v/>
      </c>
      <c r="J31" s="20">
        <f>IF(G31="","",H31-I31)</f>
        <v/>
      </c>
      <c r="K31" s="30">
        <f>IF(OR(G31="",H31=0),"",I31/H31)</f>
        <v/>
      </c>
      <c r="L31" s="31">
        <f>IF(K31="","",REPT("█",ROUND(MIN(1,MAX(0,K31))*10,0))&amp;REPT("░",10-ROUND(MIN(1,MAX(0,K31))*10,0)))</f>
        <v/>
      </c>
    </row>
    <row r="32">
      <c r="B32" s="27" t="n"/>
      <c r="C32" s="28" t="n"/>
      <c r="D32" s="15" t="n"/>
      <c r="E32" s="24" t="n"/>
      <c r="G32" s="10">
        <f>IF('Setup'!E30="","",'Setup'!E30)</f>
        <v/>
      </c>
      <c r="H32" s="20">
        <f>IF(G32="","",'Setup'!G30)</f>
        <v/>
      </c>
      <c r="I32" s="20">
        <f>IF(G32="","",SUMIFS($E$7:$E$86,$D$7:$D$86,G32))</f>
        <v/>
      </c>
      <c r="J32" s="20">
        <f>IF(G32="","",H32-I32)</f>
        <v/>
      </c>
      <c r="K32" s="30">
        <f>IF(OR(G32="",H32=0),"",I32/H32)</f>
        <v/>
      </c>
      <c r="L32" s="31">
        <f>IF(K32="","",REPT("█",ROUND(MIN(1,MAX(0,K32))*10,0))&amp;REPT("░",10-ROUND(MIN(1,MAX(0,K32))*10,0)))</f>
        <v/>
      </c>
    </row>
    <row r="33">
      <c r="B33" s="27" t="n"/>
      <c r="C33" s="28" t="n"/>
      <c r="D33" s="15" t="n"/>
      <c r="E33" s="24" t="n"/>
      <c r="G33" s="10">
        <f>IF('Setup'!E31="","",'Setup'!E31)</f>
        <v/>
      </c>
      <c r="H33" s="20">
        <f>IF(G33="","",'Setup'!G31)</f>
        <v/>
      </c>
      <c r="I33" s="20">
        <f>IF(G33="","",SUMIFS($E$7:$E$86,$D$7:$D$86,G33))</f>
        <v/>
      </c>
      <c r="J33" s="20">
        <f>IF(G33="","",H33-I33)</f>
        <v/>
      </c>
      <c r="K33" s="30">
        <f>IF(OR(G33="",H33=0),"",I33/H33)</f>
        <v/>
      </c>
      <c r="L33" s="31">
        <f>IF(K33="","",REPT("█",ROUND(MIN(1,MAX(0,K33))*10,0))&amp;REPT("░",10-ROUND(MIN(1,MAX(0,K33))*10,0)))</f>
        <v/>
      </c>
    </row>
    <row r="34">
      <c r="B34" s="27" t="n"/>
      <c r="C34" s="28" t="n"/>
      <c r="D34" s="15" t="n"/>
      <c r="E34" s="24" t="n"/>
      <c r="G34" s="10">
        <f>IF('Setup'!E32="","",'Setup'!E32)</f>
        <v/>
      </c>
      <c r="H34" s="20">
        <f>IF(G34="","",'Setup'!G32)</f>
        <v/>
      </c>
      <c r="I34" s="20">
        <f>IF(G34="","",SUMIFS($E$7:$E$86,$D$7:$D$86,G34))</f>
        <v/>
      </c>
      <c r="J34" s="20">
        <f>IF(G34="","",H34-I34)</f>
        <v/>
      </c>
      <c r="K34" s="30">
        <f>IF(OR(G34="",H34=0),"",I34/H34)</f>
        <v/>
      </c>
      <c r="L34" s="31">
        <f>IF(K34="","",REPT("█",ROUND(MIN(1,MAX(0,K34))*10,0))&amp;REPT("░",10-ROUND(MIN(1,MAX(0,K34))*10,0)))</f>
        <v/>
      </c>
    </row>
    <row r="35">
      <c r="B35" s="27" t="n"/>
      <c r="C35" s="28" t="n"/>
      <c r="D35" s="15" t="n"/>
      <c r="E35" s="24" t="n"/>
      <c r="G35" s="10">
        <f>IF('Setup'!E33="","",'Setup'!E33)</f>
        <v/>
      </c>
      <c r="H35" s="20">
        <f>IF(G35="","",'Setup'!G33)</f>
        <v/>
      </c>
      <c r="I35" s="20">
        <f>IF(G35="","",SUMIFS($E$7:$E$86,$D$7:$D$86,G35))</f>
        <v/>
      </c>
      <c r="J35" s="20">
        <f>IF(G35="","",H35-I35)</f>
        <v/>
      </c>
      <c r="K35" s="30">
        <f>IF(OR(G35="",H35=0),"",I35/H35)</f>
        <v/>
      </c>
      <c r="L35" s="31">
        <f>IF(K35="","",REPT("█",ROUND(MIN(1,MAX(0,K35))*10,0))&amp;REPT("░",10-ROUND(MIN(1,MAX(0,K35))*10,0)))</f>
        <v/>
      </c>
    </row>
    <row r="36">
      <c r="B36" s="27" t="n"/>
      <c r="C36" s="28" t="n"/>
      <c r="D36" s="15" t="n"/>
      <c r="E36" s="24" t="n"/>
      <c r="G36" s="10">
        <f>IF('Setup'!E34="","",'Setup'!E34)</f>
        <v/>
      </c>
      <c r="H36" s="20">
        <f>IF(G36="","",'Setup'!G34)</f>
        <v/>
      </c>
      <c r="I36" s="20">
        <f>IF(G36="","",SUMIFS($E$7:$E$86,$D$7:$D$86,G36))</f>
        <v/>
      </c>
      <c r="J36" s="20">
        <f>IF(G36="","",H36-I36)</f>
        <v/>
      </c>
      <c r="K36" s="30">
        <f>IF(OR(G36="",H36=0),"",I36/H36)</f>
        <v/>
      </c>
      <c r="L36" s="31">
        <f>IF(K36="","",REPT("█",ROUND(MIN(1,MAX(0,K36))*10,0))&amp;REPT("░",10-ROUND(MIN(1,MAX(0,K36))*10,0)))</f>
        <v/>
      </c>
    </row>
    <row r="37">
      <c r="B37" s="27" t="n"/>
      <c r="C37" s="28" t="n"/>
      <c r="D37" s="15" t="n"/>
      <c r="E37" s="24" t="n"/>
      <c r="G37" s="10">
        <f>IF('Setup'!E35="","",'Setup'!E35)</f>
        <v/>
      </c>
      <c r="H37" s="20">
        <f>IF(G37="","",'Setup'!G35)</f>
        <v/>
      </c>
      <c r="I37" s="20">
        <f>IF(G37="","",SUMIFS($E$7:$E$86,$D$7:$D$86,G37))</f>
        <v/>
      </c>
      <c r="J37" s="20">
        <f>IF(G37="","",H37-I37)</f>
        <v/>
      </c>
      <c r="K37" s="30">
        <f>IF(OR(G37="",H37=0),"",I37/H37)</f>
        <v/>
      </c>
      <c r="L37" s="31">
        <f>IF(K37="","",REPT("█",ROUND(MIN(1,MAX(0,K37))*10,0))&amp;REPT("░",10-ROUND(MIN(1,MAX(0,K37))*10,0)))</f>
        <v/>
      </c>
    </row>
    <row r="38">
      <c r="B38" s="27" t="n"/>
      <c r="C38" s="28" t="n"/>
      <c r="D38" s="15" t="n"/>
      <c r="E38" s="24" t="n"/>
      <c r="G38" s="10">
        <f>IF('Setup'!E36="","",'Setup'!E36)</f>
        <v/>
      </c>
      <c r="H38" s="20">
        <f>IF(G38="","",'Setup'!G36)</f>
        <v/>
      </c>
      <c r="I38" s="20">
        <f>IF(G38="","",SUMIFS($E$7:$E$86,$D$7:$D$86,G38))</f>
        <v/>
      </c>
      <c r="J38" s="20">
        <f>IF(G38="","",H38-I38)</f>
        <v/>
      </c>
      <c r="K38" s="30">
        <f>IF(OR(G38="",H38=0),"",I38/H38)</f>
        <v/>
      </c>
      <c r="L38" s="31">
        <f>IF(K38="","",REPT("█",ROUND(MIN(1,MAX(0,K38))*10,0))&amp;REPT("░",10-ROUND(MIN(1,MAX(0,K38))*10,0)))</f>
        <v/>
      </c>
    </row>
    <row r="39">
      <c r="B39" s="27" t="n"/>
      <c r="C39" s="28" t="n"/>
      <c r="D39" s="15" t="n"/>
      <c r="E39" s="24" t="n"/>
      <c r="G39" s="10">
        <f>IF('Setup'!E37="","",'Setup'!E37)</f>
        <v/>
      </c>
      <c r="H39" s="20">
        <f>IF(G39="","",'Setup'!G37)</f>
        <v/>
      </c>
      <c r="I39" s="20">
        <f>IF(G39="","",SUMIFS($E$7:$E$86,$D$7:$D$86,G39))</f>
        <v/>
      </c>
      <c r="J39" s="20">
        <f>IF(G39="","",H39-I39)</f>
        <v/>
      </c>
      <c r="K39" s="30">
        <f>IF(OR(G39="",H39=0),"",I39/H39)</f>
        <v/>
      </c>
      <c r="L39" s="31">
        <f>IF(K39="","",REPT("█",ROUND(MIN(1,MAX(0,K39))*10,0))&amp;REPT("░",10-ROUND(MIN(1,MAX(0,K39))*10,0)))</f>
        <v/>
      </c>
    </row>
    <row r="40">
      <c r="B40" s="27" t="n"/>
      <c r="C40" s="28" t="n"/>
      <c r="D40" s="15" t="n"/>
      <c r="E40" s="24" t="n"/>
      <c r="G40" s="10">
        <f>IF('Setup'!E38="","",'Setup'!E38)</f>
        <v/>
      </c>
      <c r="H40" s="20">
        <f>IF(G40="","",'Setup'!G38)</f>
        <v/>
      </c>
      <c r="I40" s="20">
        <f>IF(G40="","",SUMIFS($E$7:$E$86,$D$7:$D$86,G40))</f>
        <v/>
      </c>
      <c r="J40" s="20">
        <f>IF(G40="","",H40-I40)</f>
        <v/>
      </c>
      <c r="K40" s="30">
        <f>IF(OR(G40="",H40=0),"",I40/H40)</f>
        <v/>
      </c>
      <c r="L40" s="31">
        <f>IF(K40="","",REPT("█",ROUND(MIN(1,MAX(0,K40))*10,0))&amp;REPT("░",10-ROUND(MIN(1,MAX(0,K40))*10,0)))</f>
        <v/>
      </c>
    </row>
    <row r="41">
      <c r="B41" s="27" t="n"/>
      <c r="C41" s="28" t="n"/>
      <c r="D41" s="15" t="n"/>
      <c r="E41" s="24" t="n"/>
      <c r="G41" s="10">
        <f>IF('Setup'!E39="","",'Setup'!E39)</f>
        <v/>
      </c>
      <c r="H41" s="20">
        <f>IF(G41="","",'Setup'!G39)</f>
        <v/>
      </c>
      <c r="I41" s="20">
        <f>IF(G41="","",SUMIFS($E$7:$E$86,$D$7:$D$86,G41))</f>
        <v/>
      </c>
      <c r="J41" s="20">
        <f>IF(G41="","",H41-I41)</f>
        <v/>
      </c>
      <c r="K41" s="30">
        <f>IF(OR(G41="",H41=0),"",I41/H41)</f>
        <v/>
      </c>
      <c r="L41" s="31">
        <f>IF(K41="","",REPT("█",ROUND(MIN(1,MAX(0,K41))*10,0))&amp;REPT("░",10-ROUND(MIN(1,MAX(0,K41))*10,0)))</f>
        <v/>
      </c>
    </row>
    <row r="42">
      <c r="B42" s="27" t="n"/>
      <c r="C42" s="28" t="n"/>
      <c r="D42" s="15" t="n"/>
      <c r="E42" s="24" t="n"/>
    </row>
    <row r="43">
      <c r="B43" s="27" t="n"/>
      <c r="C43" s="28" t="n"/>
      <c r="D43" s="15" t="n"/>
      <c r="E43" s="24" t="n"/>
    </row>
    <row r="44">
      <c r="B44" s="27" t="n"/>
      <c r="C44" s="28" t="n"/>
      <c r="D44" s="15" t="n"/>
      <c r="E44" s="24" t="n"/>
    </row>
    <row r="45">
      <c r="B45" s="27" t="n"/>
      <c r="C45" s="28" t="n"/>
      <c r="D45" s="15" t="n"/>
      <c r="E45" s="24" t="n"/>
    </row>
    <row r="46">
      <c r="B46" s="27" t="n"/>
      <c r="C46" s="28" t="n"/>
      <c r="D46" s="15" t="n"/>
      <c r="E46" s="24" t="n"/>
    </row>
    <row r="47">
      <c r="B47" s="27" t="n"/>
      <c r="C47" s="28" t="n"/>
      <c r="D47" s="15" t="n"/>
      <c r="E47" s="24" t="n"/>
    </row>
    <row r="48">
      <c r="B48" s="27" t="n"/>
      <c r="C48" s="28" t="n"/>
      <c r="D48" s="15" t="n"/>
      <c r="E48" s="24" t="n"/>
    </row>
    <row r="49">
      <c r="B49" s="27" t="n"/>
      <c r="C49" s="28" t="n"/>
      <c r="D49" s="15" t="n"/>
      <c r="E49" s="24" t="n"/>
    </row>
    <row r="50">
      <c r="B50" s="27" t="n"/>
      <c r="C50" s="28" t="n"/>
      <c r="D50" s="15" t="n"/>
      <c r="E50" s="24" t="n"/>
    </row>
    <row r="51">
      <c r="B51" s="27" t="n"/>
      <c r="C51" s="28" t="n"/>
      <c r="D51" s="15" t="n"/>
      <c r="E51" s="24" t="n"/>
    </row>
    <row r="52">
      <c r="B52" s="27" t="n"/>
      <c r="C52" s="28" t="n"/>
      <c r="D52" s="15" t="n"/>
      <c r="E52" s="24" t="n"/>
    </row>
    <row r="53">
      <c r="B53" s="27" t="n"/>
      <c r="C53" s="28" t="n"/>
      <c r="D53" s="15" t="n"/>
      <c r="E53" s="24" t="n"/>
    </row>
    <row r="54">
      <c r="B54" s="27" t="n"/>
      <c r="C54" s="28" t="n"/>
      <c r="D54" s="15" t="n"/>
      <c r="E54" s="24" t="n"/>
    </row>
    <row r="55">
      <c r="B55" s="27" t="n"/>
      <c r="C55" s="28" t="n"/>
      <c r="D55" s="15" t="n"/>
      <c r="E55" s="24" t="n"/>
    </row>
    <row r="56">
      <c r="B56" s="27" t="n"/>
      <c r="C56" s="28" t="n"/>
      <c r="D56" s="15" t="n"/>
      <c r="E56" s="24" t="n"/>
    </row>
    <row r="57">
      <c r="B57" s="27" t="n"/>
      <c r="C57" s="28" t="n"/>
      <c r="D57" s="15" t="n"/>
      <c r="E57" s="24" t="n"/>
    </row>
    <row r="58">
      <c r="B58" s="27" t="n"/>
      <c r="C58" s="28" t="n"/>
      <c r="D58" s="15" t="n"/>
      <c r="E58" s="24" t="n"/>
    </row>
    <row r="59">
      <c r="B59" s="27" t="n"/>
      <c r="C59" s="28" t="n"/>
      <c r="D59" s="15" t="n"/>
      <c r="E59" s="24" t="n"/>
    </row>
    <row r="60">
      <c r="B60" s="27" t="n"/>
      <c r="C60" s="28" t="n"/>
      <c r="D60" s="15" t="n"/>
      <c r="E60" s="24" t="n"/>
    </row>
    <row r="61">
      <c r="B61" s="27" t="n"/>
      <c r="C61" s="28" t="n"/>
      <c r="D61" s="15" t="n"/>
      <c r="E61" s="24" t="n"/>
    </row>
    <row r="62">
      <c r="B62" s="27" t="n"/>
      <c r="C62" s="28" t="n"/>
      <c r="D62" s="15" t="n"/>
      <c r="E62" s="24" t="n"/>
    </row>
    <row r="63">
      <c r="B63" s="27" t="n"/>
      <c r="C63" s="28" t="n"/>
      <c r="D63" s="15" t="n"/>
      <c r="E63" s="24" t="n"/>
    </row>
    <row r="64">
      <c r="B64" s="27" t="n"/>
      <c r="C64" s="28" t="n"/>
      <c r="D64" s="15" t="n"/>
      <c r="E64" s="24" t="n"/>
    </row>
    <row r="65">
      <c r="B65" s="27" t="n"/>
      <c r="C65" s="28" t="n"/>
      <c r="D65" s="15" t="n"/>
      <c r="E65" s="24" t="n"/>
    </row>
    <row r="66">
      <c r="B66" s="27" t="n"/>
      <c r="C66" s="28" t="n"/>
      <c r="D66" s="15" t="n"/>
      <c r="E66" s="24" t="n"/>
    </row>
    <row r="67">
      <c r="B67" s="27" t="n"/>
      <c r="C67" s="28" t="n"/>
      <c r="D67" s="15" t="n"/>
      <c r="E67" s="24" t="n"/>
    </row>
    <row r="68">
      <c r="B68" s="27" t="n"/>
      <c r="C68" s="28" t="n"/>
      <c r="D68" s="15" t="n"/>
      <c r="E68" s="24" t="n"/>
    </row>
    <row r="69">
      <c r="B69" s="27" t="n"/>
      <c r="C69" s="28" t="n"/>
      <c r="D69" s="15" t="n"/>
      <c r="E69" s="24" t="n"/>
    </row>
    <row r="70">
      <c r="B70" s="27" t="n"/>
      <c r="C70" s="28" t="n"/>
      <c r="D70" s="15" t="n"/>
      <c r="E70" s="24" t="n"/>
    </row>
    <row r="71">
      <c r="B71" s="27" t="n"/>
      <c r="C71" s="28" t="n"/>
      <c r="D71" s="15" t="n"/>
      <c r="E71" s="24" t="n"/>
    </row>
    <row r="72">
      <c r="B72" s="27" t="n"/>
      <c r="C72" s="28" t="n"/>
      <c r="D72" s="15" t="n"/>
      <c r="E72" s="24" t="n"/>
    </row>
    <row r="73">
      <c r="B73" s="27" t="n"/>
      <c r="C73" s="28" t="n"/>
      <c r="D73" s="15" t="n"/>
      <c r="E73" s="24" t="n"/>
    </row>
    <row r="74">
      <c r="B74" s="27" t="n"/>
      <c r="C74" s="28" t="n"/>
      <c r="D74" s="15" t="n"/>
      <c r="E74" s="24" t="n"/>
    </row>
    <row r="75">
      <c r="B75" s="27" t="n"/>
      <c r="C75" s="28" t="n"/>
      <c r="D75" s="15" t="n"/>
      <c r="E75" s="24" t="n"/>
    </row>
    <row r="76">
      <c r="B76" s="27" t="n"/>
      <c r="C76" s="28" t="n"/>
      <c r="D76" s="15" t="n"/>
      <c r="E76" s="24" t="n"/>
    </row>
    <row r="77">
      <c r="B77" s="27" t="n"/>
      <c r="C77" s="28" t="n"/>
      <c r="D77" s="15" t="n"/>
      <c r="E77" s="24" t="n"/>
    </row>
    <row r="78">
      <c r="B78" s="27" t="n"/>
      <c r="C78" s="28" t="n"/>
      <c r="D78" s="15" t="n"/>
      <c r="E78" s="24" t="n"/>
    </row>
    <row r="79">
      <c r="B79" s="27" t="n"/>
      <c r="C79" s="28" t="n"/>
      <c r="D79" s="15" t="n"/>
      <c r="E79" s="24" t="n"/>
    </row>
    <row r="80">
      <c r="B80" s="27" t="n"/>
      <c r="C80" s="28" t="n"/>
      <c r="D80" s="15" t="n"/>
      <c r="E80" s="24" t="n"/>
    </row>
    <row r="81">
      <c r="B81" s="27" t="n"/>
      <c r="C81" s="28" t="n"/>
      <c r="D81" s="15" t="n"/>
      <c r="E81" s="24" t="n"/>
    </row>
    <row r="82">
      <c r="B82" s="27" t="n"/>
      <c r="C82" s="28" t="n"/>
      <c r="D82" s="15" t="n"/>
      <c r="E82" s="24" t="n"/>
    </row>
    <row r="83">
      <c r="B83" s="27" t="n"/>
      <c r="C83" s="28" t="n"/>
      <c r="D83" s="15" t="n"/>
      <c r="E83" s="24" t="n"/>
    </row>
    <row r="84">
      <c r="B84" s="27" t="n"/>
      <c r="C84" s="28" t="n"/>
      <c r="D84" s="15" t="n"/>
      <c r="E84" s="24" t="n"/>
    </row>
    <row r="85">
      <c r="B85" s="27" t="n"/>
      <c r="C85" s="28" t="n"/>
      <c r="D85" s="15" t="n"/>
      <c r="E85" s="24" t="n"/>
    </row>
    <row r="86">
      <c r="B86" s="27" t="n"/>
      <c r="C86" s="28" t="n"/>
      <c r="D86" s="15" t="n"/>
      <c r="E86" s="24" t="n"/>
    </row>
  </sheetData>
  <sheetProtection selectLockedCells="0" selectUnlockedCells="0" sheet="1" objects="0" insertRows="0" insertHyperlinks="1" autoFilter="0" scenarios="0" formatColumns="0" deleteColumns="1" insertColumns="1" pivotTables="1" deleteRows="1" formatCells="1" formatRows="0" sort="0"/>
  <conditionalFormatting sqref="H8">
    <cfRule type="cellIs" priority="1" operator="lessThan" dxfId="1">
      <formula>0</formula>
    </cfRule>
  </conditionalFormatting>
  <conditionalFormatting sqref="J12:J41">
    <cfRule type="cellIs" priority="2" operator="lessThan" dxfId="1">
      <formula>0</formula>
    </cfRule>
  </conditionalFormatting>
  <conditionalFormatting sqref="L12:L41">
    <cfRule type="expression" priority="3" dxfId="2">
      <formula>K12&gt;1</formula>
    </cfRule>
  </conditionalFormatting>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showDropDown="0" showInputMessage="0" showErrorMessage="0" allowBlank="1" type="list">
      <formula1>=Categories</formula1>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gridLines="0"/>
  <pageMargins left="0.75" right="0.75" top="1" bottom="1" header="0.5" footer="0.5"/>
  <pageSetup orientation="landscape" fitToHeight="1" fitToWidth="1"/>
</worksheet>
</file>

<file path=xl/worksheets/sheet14.xml><?xml version="1.0" encoding="utf-8"?>
<worksheet xmlns="http://schemas.openxmlformats.org/spreadsheetml/2006/main">
  <sheetPr>
    <tabColor rgb="002F6F5E"/>
    <outlinePr summaryBelow="1" summaryRight="1"/>
    <pageSetUpPr fitToPage="1"/>
  </sheetPr>
  <dimension ref="B2:L86"/>
  <sheetViews>
    <sheetView showGridLines="0" workbookViewId="0">
      <pane ySplit="6" topLeftCell="A7" activePane="bottomLeft" state="frozen"/>
      <selection pane="bottomLeft" activeCell="A1" sqref="A1"/>
    </sheetView>
  </sheetViews>
  <sheetFormatPr baseColWidth="8" defaultRowHeight="15"/>
  <cols>
    <col width="3" customWidth="1" min="1" max="1"/>
    <col width="12" customWidth="1" min="2" max="2"/>
    <col width="26" customWidth="1" min="3" max="3"/>
    <col width="22" customWidth="1" min="4" max="4"/>
    <col width="14" customWidth="1" min="5" max="5"/>
    <col width="14" customWidth="1" min="6" max="6"/>
    <col width="22" customWidth="1" min="7" max="7"/>
    <col width="13" customWidth="1" min="8" max="8"/>
    <col width="13" customWidth="1" min="9" max="9"/>
    <col width="13" customWidth="1" min="10" max="10"/>
    <col width="9"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November</t>
        </is>
      </c>
    </row>
    <row r="3">
      <c r="B3" s="2" t="inlineStr">
        <is>
          <t>Log what you spend. The summary on the right updates itself.</t>
        </is>
      </c>
    </row>
    <row r="4">
      <c r="B4" s="3" t="inlineStr">
        <is>
          <t>Start here</t>
        </is>
      </c>
      <c r="D4" s="3" t="inlineStr">
        <is>
          <t>Dashboard</t>
        </is>
      </c>
      <c r="E4" s="3" t="inlineStr">
        <is>
          <t>Setup</t>
        </is>
      </c>
      <c r="F4" s="3" t="inlineStr">
        <is>
          <t>Months</t>
        </is>
      </c>
      <c r="G4" s="3" t="inlineStr">
        <is>
          <t>Bills</t>
        </is>
      </c>
      <c r="H4" s="3" t="inlineStr">
        <is>
          <t>Paycheck</t>
        </is>
      </c>
      <c r="I4" s="3" t="inlineStr">
        <is>
          <t>Debt</t>
        </is>
      </c>
      <c r="J4" s="3" t="inlineStr">
        <is>
          <t>Savings</t>
        </is>
      </c>
    </row>
    <row r="6" ht="22" customHeight="1">
      <c r="B6" s="9" t="inlineStr">
        <is>
          <t>Date</t>
        </is>
      </c>
      <c r="C6" s="9" t="inlineStr">
        <is>
          <t>What</t>
        </is>
      </c>
      <c r="D6" s="9" t="inlineStr">
        <is>
          <t>Category</t>
        </is>
      </c>
      <c r="E6" s="9" t="inlineStr">
        <is>
          <t>Amount</t>
        </is>
      </c>
      <c r="G6" s="17" t="inlineStr">
        <is>
          <t>Income this month</t>
        </is>
      </c>
      <c r="H6" s="25">
        <f>'Setup'!$C$18</f>
        <v/>
      </c>
      <c r="I6" s="26" t="inlineStr">
        <is>
          <t>Type over this if your income was different</t>
        </is>
      </c>
    </row>
    <row r="7">
      <c r="B7" s="27" t="n"/>
      <c r="C7" s="28" t="n"/>
      <c r="D7" s="15" t="n"/>
      <c r="E7" s="24" t="n"/>
      <c r="G7" s="17" t="inlineStr">
        <is>
          <t>Spent</t>
        </is>
      </c>
      <c r="H7" s="29">
        <f>SUM(E7:E86)</f>
        <v/>
      </c>
    </row>
    <row r="8">
      <c r="B8" s="27" t="n"/>
      <c r="C8" s="28" t="n"/>
      <c r="D8" s="15" t="n"/>
      <c r="E8" s="24" t="n"/>
      <c r="G8" s="17" t="inlineStr">
        <is>
          <t>Left over</t>
        </is>
      </c>
      <c r="H8" s="29">
        <f>H6-H7</f>
        <v/>
      </c>
    </row>
    <row r="9">
      <c r="B9" s="27" t="n"/>
      <c r="C9" s="28" t="n"/>
      <c r="D9" s="15" t="n"/>
      <c r="E9" s="24" t="n"/>
      <c r="G9" s="17" t="inlineStr">
        <is>
          <t>Saved and debt paid</t>
        </is>
      </c>
      <c r="H9" s="29">
        <f>SUMPRODUCT(SUMIFS($E$7:$E$86,$D$7:$D$86,'Setup'!$E$10:$E$39)*(('Setup'!$F$10:$F$39="Savings")+('Setup'!$F$10:$F$39="Debt")))</f>
        <v/>
      </c>
    </row>
    <row r="10">
      <c r="B10" s="27" t="n"/>
      <c r="C10" s="28" t="n"/>
      <c r="D10" s="15" t="n"/>
      <c r="E10" s="24" t="n"/>
    </row>
    <row r="11" ht="22" customHeight="1">
      <c r="B11" s="27" t="n"/>
      <c r="C11" s="28" t="n"/>
      <c r="D11" s="15" t="n"/>
      <c r="E11" s="24" t="n"/>
      <c r="G11" s="9" t="inlineStr">
        <is>
          <t>Category</t>
        </is>
      </c>
      <c r="H11" s="9" t="inlineStr">
        <is>
          <t>Budget</t>
        </is>
      </c>
      <c r="I11" s="9" t="inlineStr">
        <is>
          <t>Spent</t>
        </is>
      </c>
      <c r="J11" s="9" t="inlineStr">
        <is>
          <t>Left</t>
        </is>
      </c>
      <c r="K11" s="9" t="inlineStr">
        <is>
          <t>Used</t>
        </is>
      </c>
      <c r="L11" s="9" t="inlineStr"/>
    </row>
    <row r="12">
      <c r="B12" s="27" t="n"/>
      <c r="C12" s="28" t="n"/>
      <c r="D12" s="15" t="n"/>
      <c r="E12" s="24" t="n"/>
      <c r="G12" s="10">
        <f>IF('Setup'!E10="","",'Setup'!E10)</f>
        <v/>
      </c>
      <c r="H12" s="20">
        <f>IF(G12="","",'Setup'!G10)</f>
        <v/>
      </c>
      <c r="I12" s="20">
        <f>IF(G12="","",SUMIFS($E$7:$E$86,$D$7:$D$86,G12))</f>
        <v/>
      </c>
      <c r="J12" s="20">
        <f>IF(G12="","",H12-I12)</f>
        <v/>
      </c>
      <c r="K12" s="30">
        <f>IF(OR(G12="",H12=0),"",I12/H12)</f>
        <v/>
      </c>
      <c r="L12" s="31">
        <f>IF(K12="","",REPT("█",ROUND(MIN(1,MAX(0,K12))*10,0))&amp;REPT("░",10-ROUND(MIN(1,MAX(0,K12))*10,0)))</f>
        <v/>
      </c>
    </row>
    <row r="13">
      <c r="B13" s="27" t="n"/>
      <c r="C13" s="28" t="n"/>
      <c r="D13" s="15" t="n"/>
      <c r="E13" s="24" t="n"/>
      <c r="G13" s="10">
        <f>IF('Setup'!E11="","",'Setup'!E11)</f>
        <v/>
      </c>
      <c r="H13" s="20">
        <f>IF(G13="","",'Setup'!G11)</f>
        <v/>
      </c>
      <c r="I13" s="20">
        <f>IF(G13="","",SUMIFS($E$7:$E$86,$D$7:$D$86,G13))</f>
        <v/>
      </c>
      <c r="J13" s="20">
        <f>IF(G13="","",H13-I13)</f>
        <v/>
      </c>
      <c r="K13" s="30">
        <f>IF(OR(G13="",H13=0),"",I13/H13)</f>
        <v/>
      </c>
      <c r="L13" s="31">
        <f>IF(K13="","",REPT("█",ROUND(MIN(1,MAX(0,K13))*10,0))&amp;REPT("░",10-ROUND(MIN(1,MAX(0,K13))*10,0)))</f>
        <v/>
      </c>
    </row>
    <row r="14">
      <c r="B14" s="27" t="n"/>
      <c r="C14" s="28" t="n"/>
      <c r="D14" s="15" t="n"/>
      <c r="E14" s="24" t="n"/>
      <c r="G14" s="10">
        <f>IF('Setup'!E12="","",'Setup'!E12)</f>
        <v/>
      </c>
      <c r="H14" s="20">
        <f>IF(G14="","",'Setup'!G12)</f>
        <v/>
      </c>
      <c r="I14" s="20">
        <f>IF(G14="","",SUMIFS($E$7:$E$86,$D$7:$D$86,G14))</f>
        <v/>
      </c>
      <c r="J14" s="20">
        <f>IF(G14="","",H14-I14)</f>
        <v/>
      </c>
      <c r="K14" s="30">
        <f>IF(OR(G14="",H14=0),"",I14/H14)</f>
        <v/>
      </c>
      <c r="L14" s="31">
        <f>IF(K14="","",REPT("█",ROUND(MIN(1,MAX(0,K14))*10,0))&amp;REPT("░",10-ROUND(MIN(1,MAX(0,K14))*10,0)))</f>
        <v/>
      </c>
    </row>
    <row r="15">
      <c r="B15" s="27" t="n"/>
      <c r="C15" s="28" t="n"/>
      <c r="D15" s="15" t="n"/>
      <c r="E15" s="24" t="n"/>
      <c r="G15" s="10">
        <f>IF('Setup'!E13="","",'Setup'!E13)</f>
        <v/>
      </c>
      <c r="H15" s="20">
        <f>IF(G15="","",'Setup'!G13)</f>
        <v/>
      </c>
      <c r="I15" s="20">
        <f>IF(G15="","",SUMIFS($E$7:$E$86,$D$7:$D$86,G15))</f>
        <v/>
      </c>
      <c r="J15" s="20">
        <f>IF(G15="","",H15-I15)</f>
        <v/>
      </c>
      <c r="K15" s="30">
        <f>IF(OR(G15="",H15=0),"",I15/H15)</f>
        <v/>
      </c>
      <c r="L15" s="31">
        <f>IF(K15="","",REPT("█",ROUND(MIN(1,MAX(0,K15))*10,0))&amp;REPT("░",10-ROUND(MIN(1,MAX(0,K15))*10,0)))</f>
        <v/>
      </c>
    </row>
    <row r="16">
      <c r="B16" s="27" t="n"/>
      <c r="C16" s="28" t="n"/>
      <c r="D16" s="15" t="n"/>
      <c r="E16" s="24" t="n"/>
      <c r="G16" s="10">
        <f>IF('Setup'!E14="","",'Setup'!E14)</f>
        <v/>
      </c>
      <c r="H16" s="20">
        <f>IF(G16="","",'Setup'!G14)</f>
        <v/>
      </c>
      <c r="I16" s="20">
        <f>IF(G16="","",SUMIFS($E$7:$E$86,$D$7:$D$86,G16))</f>
        <v/>
      </c>
      <c r="J16" s="20">
        <f>IF(G16="","",H16-I16)</f>
        <v/>
      </c>
      <c r="K16" s="30">
        <f>IF(OR(G16="",H16=0),"",I16/H16)</f>
        <v/>
      </c>
      <c r="L16" s="31">
        <f>IF(K16="","",REPT("█",ROUND(MIN(1,MAX(0,K16))*10,0))&amp;REPT("░",10-ROUND(MIN(1,MAX(0,K16))*10,0)))</f>
        <v/>
      </c>
    </row>
    <row r="17">
      <c r="B17" s="27" t="n"/>
      <c r="C17" s="28" t="n"/>
      <c r="D17" s="15" t="n"/>
      <c r="E17" s="24" t="n"/>
      <c r="G17" s="10">
        <f>IF('Setup'!E15="","",'Setup'!E15)</f>
        <v/>
      </c>
      <c r="H17" s="20">
        <f>IF(G17="","",'Setup'!G15)</f>
        <v/>
      </c>
      <c r="I17" s="20">
        <f>IF(G17="","",SUMIFS($E$7:$E$86,$D$7:$D$86,G17))</f>
        <v/>
      </c>
      <c r="J17" s="20">
        <f>IF(G17="","",H17-I17)</f>
        <v/>
      </c>
      <c r="K17" s="30">
        <f>IF(OR(G17="",H17=0),"",I17/H17)</f>
        <v/>
      </c>
      <c r="L17" s="31">
        <f>IF(K17="","",REPT("█",ROUND(MIN(1,MAX(0,K17))*10,0))&amp;REPT("░",10-ROUND(MIN(1,MAX(0,K17))*10,0)))</f>
        <v/>
      </c>
    </row>
    <row r="18">
      <c r="B18" s="27" t="n"/>
      <c r="C18" s="28" t="n"/>
      <c r="D18" s="15" t="n"/>
      <c r="E18" s="24" t="n"/>
      <c r="G18" s="10">
        <f>IF('Setup'!E16="","",'Setup'!E16)</f>
        <v/>
      </c>
      <c r="H18" s="20">
        <f>IF(G18="","",'Setup'!G16)</f>
        <v/>
      </c>
      <c r="I18" s="20">
        <f>IF(G18="","",SUMIFS($E$7:$E$86,$D$7:$D$86,G18))</f>
        <v/>
      </c>
      <c r="J18" s="20">
        <f>IF(G18="","",H18-I18)</f>
        <v/>
      </c>
      <c r="K18" s="30">
        <f>IF(OR(G18="",H18=0),"",I18/H18)</f>
        <v/>
      </c>
      <c r="L18" s="31">
        <f>IF(K18="","",REPT("█",ROUND(MIN(1,MAX(0,K18))*10,0))&amp;REPT("░",10-ROUND(MIN(1,MAX(0,K18))*10,0)))</f>
        <v/>
      </c>
    </row>
    <row r="19">
      <c r="B19" s="27" t="n"/>
      <c r="C19" s="28" t="n"/>
      <c r="D19" s="15" t="n"/>
      <c r="E19" s="24" t="n"/>
      <c r="G19" s="10">
        <f>IF('Setup'!E17="","",'Setup'!E17)</f>
        <v/>
      </c>
      <c r="H19" s="20">
        <f>IF(G19="","",'Setup'!G17)</f>
        <v/>
      </c>
      <c r="I19" s="20">
        <f>IF(G19="","",SUMIFS($E$7:$E$86,$D$7:$D$86,G19))</f>
        <v/>
      </c>
      <c r="J19" s="20">
        <f>IF(G19="","",H19-I19)</f>
        <v/>
      </c>
      <c r="K19" s="30">
        <f>IF(OR(G19="",H19=0),"",I19/H19)</f>
        <v/>
      </c>
      <c r="L19" s="31">
        <f>IF(K19="","",REPT("█",ROUND(MIN(1,MAX(0,K19))*10,0))&amp;REPT("░",10-ROUND(MIN(1,MAX(0,K19))*10,0)))</f>
        <v/>
      </c>
    </row>
    <row r="20">
      <c r="B20" s="27" t="n"/>
      <c r="C20" s="28" t="n"/>
      <c r="D20" s="15" t="n"/>
      <c r="E20" s="24" t="n"/>
      <c r="G20" s="10">
        <f>IF('Setup'!E18="","",'Setup'!E18)</f>
        <v/>
      </c>
      <c r="H20" s="20">
        <f>IF(G20="","",'Setup'!G18)</f>
        <v/>
      </c>
      <c r="I20" s="20">
        <f>IF(G20="","",SUMIFS($E$7:$E$86,$D$7:$D$86,G20))</f>
        <v/>
      </c>
      <c r="J20" s="20">
        <f>IF(G20="","",H20-I20)</f>
        <v/>
      </c>
      <c r="K20" s="30">
        <f>IF(OR(G20="",H20=0),"",I20/H20)</f>
        <v/>
      </c>
      <c r="L20" s="31">
        <f>IF(K20="","",REPT("█",ROUND(MIN(1,MAX(0,K20))*10,0))&amp;REPT("░",10-ROUND(MIN(1,MAX(0,K20))*10,0)))</f>
        <v/>
      </c>
    </row>
    <row r="21">
      <c r="B21" s="27" t="n"/>
      <c r="C21" s="28" t="n"/>
      <c r="D21" s="15" t="n"/>
      <c r="E21" s="24" t="n"/>
      <c r="G21" s="10">
        <f>IF('Setup'!E19="","",'Setup'!E19)</f>
        <v/>
      </c>
      <c r="H21" s="20">
        <f>IF(G21="","",'Setup'!G19)</f>
        <v/>
      </c>
      <c r="I21" s="20">
        <f>IF(G21="","",SUMIFS($E$7:$E$86,$D$7:$D$86,G21))</f>
        <v/>
      </c>
      <c r="J21" s="20">
        <f>IF(G21="","",H21-I21)</f>
        <v/>
      </c>
      <c r="K21" s="30">
        <f>IF(OR(G21="",H21=0),"",I21/H21)</f>
        <v/>
      </c>
      <c r="L21" s="31">
        <f>IF(K21="","",REPT("█",ROUND(MIN(1,MAX(0,K21))*10,0))&amp;REPT("░",10-ROUND(MIN(1,MAX(0,K21))*10,0)))</f>
        <v/>
      </c>
    </row>
    <row r="22">
      <c r="B22" s="27" t="n"/>
      <c r="C22" s="28" t="n"/>
      <c r="D22" s="15" t="n"/>
      <c r="E22" s="24" t="n"/>
      <c r="G22" s="10">
        <f>IF('Setup'!E20="","",'Setup'!E20)</f>
        <v/>
      </c>
      <c r="H22" s="20">
        <f>IF(G22="","",'Setup'!G20)</f>
        <v/>
      </c>
      <c r="I22" s="20">
        <f>IF(G22="","",SUMIFS($E$7:$E$86,$D$7:$D$86,G22))</f>
        <v/>
      </c>
      <c r="J22" s="20">
        <f>IF(G22="","",H22-I22)</f>
        <v/>
      </c>
      <c r="K22" s="30">
        <f>IF(OR(G22="",H22=0),"",I22/H22)</f>
        <v/>
      </c>
      <c r="L22" s="31">
        <f>IF(K22="","",REPT("█",ROUND(MIN(1,MAX(0,K22))*10,0))&amp;REPT("░",10-ROUND(MIN(1,MAX(0,K22))*10,0)))</f>
        <v/>
      </c>
    </row>
    <row r="23">
      <c r="B23" s="27" t="n"/>
      <c r="C23" s="28" t="n"/>
      <c r="D23" s="15" t="n"/>
      <c r="E23" s="24" t="n"/>
      <c r="G23" s="10">
        <f>IF('Setup'!E21="","",'Setup'!E21)</f>
        <v/>
      </c>
      <c r="H23" s="20">
        <f>IF(G23="","",'Setup'!G21)</f>
        <v/>
      </c>
      <c r="I23" s="20">
        <f>IF(G23="","",SUMIFS($E$7:$E$86,$D$7:$D$86,G23))</f>
        <v/>
      </c>
      <c r="J23" s="20">
        <f>IF(G23="","",H23-I23)</f>
        <v/>
      </c>
      <c r="K23" s="30">
        <f>IF(OR(G23="",H23=0),"",I23/H23)</f>
        <v/>
      </c>
      <c r="L23" s="31">
        <f>IF(K23="","",REPT("█",ROUND(MIN(1,MAX(0,K23))*10,0))&amp;REPT("░",10-ROUND(MIN(1,MAX(0,K23))*10,0)))</f>
        <v/>
      </c>
    </row>
    <row r="24">
      <c r="B24" s="27" t="n"/>
      <c r="C24" s="28" t="n"/>
      <c r="D24" s="15" t="n"/>
      <c r="E24" s="24" t="n"/>
      <c r="G24" s="10">
        <f>IF('Setup'!E22="","",'Setup'!E22)</f>
        <v/>
      </c>
      <c r="H24" s="20">
        <f>IF(G24="","",'Setup'!G22)</f>
        <v/>
      </c>
      <c r="I24" s="20">
        <f>IF(G24="","",SUMIFS($E$7:$E$86,$D$7:$D$86,G24))</f>
        <v/>
      </c>
      <c r="J24" s="20">
        <f>IF(G24="","",H24-I24)</f>
        <v/>
      </c>
      <c r="K24" s="30">
        <f>IF(OR(G24="",H24=0),"",I24/H24)</f>
        <v/>
      </c>
      <c r="L24" s="31">
        <f>IF(K24="","",REPT("█",ROUND(MIN(1,MAX(0,K24))*10,0))&amp;REPT("░",10-ROUND(MIN(1,MAX(0,K24))*10,0)))</f>
        <v/>
      </c>
    </row>
    <row r="25">
      <c r="B25" s="27" t="n"/>
      <c r="C25" s="28" t="n"/>
      <c r="D25" s="15" t="n"/>
      <c r="E25" s="24" t="n"/>
      <c r="G25" s="10">
        <f>IF('Setup'!E23="","",'Setup'!E23)</f>
        <v/>
      </c>
      <c r="H25" s="20">
        <f>IF(G25="","",'Setup'!G23)</f>
        <v/>
      </c>
      <c r="I25" s="20">
        <f>IF(G25="","",SUMIFS($E$7:$E$86,$D$7:$D$86,G25))</f>
        <v/>
      </c>
      <c r="J25" s="20">
        <f>IF(G25="","",H25-I25)</f>
        <v/>
      </c>
      <c r="K25" s="30">
        <f>IF(OR(G25="",H25=0),"",I25/H25)</f>
        <v/>
      </c>
      <c r="L25" s="31">
        <f>IF(K25="","",REPT("█",ROUND(MIN(1,MAX(0,K25))*10,0))&amp;REPT("░",10-ROUND(MIN(1,MAX(0,K25))*10,0)))</f>
        <v/>
      </c>
    </row>
    <row r="26">
      <c r="B26" s="27" t="n"/>
      <c r="C26" s="28" t="n"/>
      <c r="D26" s="15" t="n"/>
      <c r="E26" s="24" t="n"/>
      <c r="G26" s="10">
        <f>IF('Setup'!E24="","",'Setup'!E24)</f>
        <v/>
      </c>
      <c r="H26" s="20">
        <f>IF(G26="","",'Setup'!G24)</f>
        <v/>
      </c>
      <c r="I26" s="20">
        <f>IF(G26="","",SUMIFS($E$7:$E$86,$D$7:$D$86,G26))</f>
        <v/>
      </c>
      <c r="J26" s="20">
        <f>IF(G26="","",H26-I26)</f>
        <v/>
      </c>
      <c r="K26" s="30">
        <f>IF(OR(G26="",H26=0),"",I26/H26)</f>
        <v/>
      </c>
      <c r="L26" s="31">
        <f>IF(K26="","",REPT("█",ROUND(MIN(1,MAX(0,K26))*10,0))&amp;REPT("░",10-ROUND(MIN(1,MAX(0,K26))*10,0)))</f>
        <v/>
      </c>
    </row>
    <row r="27">
      <c r="B27" s="27" t="n"/>
      <c r="C27" s="28" t="n"/>
      <c r="D27" s="15" t="n"/>
      <c r="E27" s="24" t="n"/>
      <c r="G27" s="10">
        <f>IF('Setup'!E25="","",'Setup'!E25)</f>
        <v/>
      </c>
      <c r="H27" s="20">
        <f>IF(G27="","",'Setup'!G25)</f>
        <v/>
      </c>
      <c r="I27" s="20">
        <f>IF(G27="","",SUMIFS($E$7:$E$86,$D$7:$D$86,G27))</f>
        <v/>
      </c>
      <c r="J27" s="20">
        <f>IF(G27="","",H27-I27)</f>
        <v/>
      </c>
      <c r="K27" s="30">
        <f>IF(OR(G27="",H27=0),"",I27/H27)</f>
        <v/>
      </c>
      <c r="L27" s="31">
        <f>IF(K27="","",REPT("█",ROUND(MIN(1,MAX(0,K27))*10,0))&amp;REPT("░",10-ROUND(MIN(1,MAX(0,K27))*10,0)))</f>
        <v/>
      </c>
    </row>
    <row r="28">
      <c r="B28" s="27" t="n"/>
      <c r="C28" s="28" t="n"/>
      <c r="D28" s="15" t="n"/>
      <c r="E28" s="24" t="n"/>
      <c r="G28" s="10">
        <f>IF('Setup'!E26="","",'Setup'!E26)</f>
        <v/>
      </c>
      <c r="H28" s="20">
        <f>IF(G28="","",'Setup'!G26)</f>
        <v/>
      </c>
      <c r="I28" s="20">
        <f>IF(G28="","",SUMIFS($E$7:$E$86,$D$7:$D$86,G28))</f>
        <v/>
      </c>
      <c r="J28" s="20">
        <f>IF(G28="","",H28-I28)</f>
        <v/>
      </c>
      <c r="K28" s="30">
        <f>IF(OR(G28="",H28=0),"",I28/H28)</f>
        <v/>
      </c>
      <c r="L28" s="31">
        <f>IF(K28="","",REPT("█",ROUND(MIN(1,MAX(0,K28))*10,0))&amp;REPT("░",10-ROUND(MIN(1,MAX(0,K28))*10,0)))</f>
        <v/>
      </c>
    </row>
    <row r="29">
      <c r="B29" s="27" t="n"/>
      <c r="C29" s="28" t="n"/>
      <c r="D29" s="15" t="n"/>
      <c r="E29" s="24" t="n"/>
      <c r="G29" s="10">
        <f>IF('Setup'!E27="","",'Setup'!E27)</f>
        <v/>
      </c>
      <c r="H29" s="20">
        <f>IF(G29="","",'Setup'!G27)</f>
        <v/>
      </c>
      <c r="I29" s="20">
        <f>IF(G29="","",SUMIFS($E$7:$E$86,$D$7:$D$86,G29))</f>
        <v/>
      </c>
      <c r="J29" s="20">
        <f>IF(G29="","",H29-I29)</f>
        <v/>
      </c>
      <c r="K29" s="30">
        <f>IF(OR(G29="",H29=0),"",I29/H29)</f>
        <v/>
      </c>
      <c r="L29" s="31">
        <f>IF(K29="","",REPT("█",ROUND(MIN(1,MAX(0,K29))*10,0))&amp;REPT("░",10-ROUND(MIN(1,MAX(0,K29))*10,0)))</f>
        <v/>
      </c>
    </row>
    <row r="30">
      <c r="B30" s="27" t="n"/>
      <c r="C30" s="28" t="n"/>
      <c r="D30" s="15" t="n"/>
      <c r="E30" s="24" t="n"/>
      <c r="G30" s="10">
        <f>IF('Setup'!E28="","",'Setup'!E28)</f>
        <v/>
      </c>
      <c r="H30" s="20">
        <f>IF(G30="","",'Setup'!G28)</f>
        <v/>
      </c>
      <c r="I30" s="20">
        <f>IF(G30="","",SUMIFS($E$7:$E$86,$D$7:$D$86,G30))</f>
        <v/>
      </c>
      <c r="J30" s="20">
        <f>IF(G30="","",H30-I30)</f>
        <v/>
      </c>
      <c r="K30" s="30">
        <f>IF(OR(G30="",H30=0),"",I30/H30)</f>
        <v/>
      </c>
      <c r="L30" s="31">
        <f>IF(K30="","",REPT("█",ROUND(MIN(1,MAX(0,K30))*10,0))&amp;REPT("░",10-ROUND(MIN(1,MAX(0,K30))*10,0)))</f>
        <v/>
      </c>
    </row>
    <row r="31">
      <c r="B31" s="27" t="n"/>
      <c r="C31" s="28" t="n"/>
      <c r="D31" s="15" t="n"/>
      <c r="E31" s="24" t="n"/>
      <c r="G31" s="10">
        <f>IF('Setup'!E29="","",'Setup'!E29)</f>
        <v/>
      </c>
      <c r="H31" s="20">
        <f>IF(G31="","",'Setup'!G29)</f>
        <v/>
      </c>
      <c r="I31" s="20">
        <f>IF(G31="","",SUMIFS($E$7:$E$86,$D$7:$D$86,G31))</f>
        <v/>
      </c>
      <c r="J31" s="20">
        <f>IF(G31="","",H31-I31)</f>
        <v/>
      </c>
      <c r="K31" s="30">
        <f>IF(OR(G31="",H31=0),"",I31/H31)</f>
        <v/>
      </c>
      <c r="L31" s="31">
        <f>IF(K31="","",REPT("█",ROUND(MIN(1,MAX(0,K31))*10,0))&amp;REPT("░",10-ROUND(MIN(1,MAX(0,K31))*10,0)))</f>
        <v/>
      </c>
    </row>
    <row r="32">
      <c r="B32" s="27" t="n"/>
      <c r="C32" s="28" t="n"/>
      <c r="D32" s="15" t="n"/>
      <c r="E32" s="24" t="n"/>
      <c r="G32" s="10">
        <f>IF('Setup'!E30="","",'Setup'!E30)</f>
        <v/>
      </c>
      <c r="H32" s="20">
        <f>IF(G32="","",'Setup'!G30)</f>
        <v/>
      </c>
      <c r="I32" s="20">
        <f>IF(G32="","",SUMIFS($E$7:$E$86,$D$7:$D$86,G32))</f>
        <v/>
      </c>
      <c r="J32" s="20">
        <f>IF(G32="","",H32-I32)</f>
        <v/>
      </c>
      <c r="K32" s="30">
        <f>IF(OR(G32="",H32=0),"",I32/H32)</f>
        <v/>
      </c>
      <c r="L32" s="31">
        <f>IF(K32="","",REPT("█",ROUND(MIN(1,MAX(0,K32))*10,0))&amp;REPT("░",10-ROUND(MIN(1,MAX(0,K32))*10,0)))</f>
        <v/>
      </c>
    </row>
    <row r="33">
      <c r="B33" s="27" t="n"/>
      <c r="C33" s="28" t="n"/>
      <c r="D33" s="15" t="n"/>
      <c r="E33" s="24" t="n"/>
      <c r="G33" s="10">
        <f>IF('Setup'!E31="","",'Setup'!E31)</f>
        <v/>
      </c>
      <c r="H33" s="20">
        <f>IF(G33="","",'Setup'!G31)</f>
        <v/>
      </c>
      <c r="I33" s="20">
        <f>IF(G33="","",SUMIFS($E$7:$E$86,$D$7:$D$86,G33))</f>
        <v/>
      </c>
      <c r="J33" s="20">
        <f>IF(G33="","",H33-I33)</f>
        <v/>
      </c>
      <c r="K33" s="30">
        <f>IF(OR(G33="",H33=0),"",I33/H33)</f>
        <v/>
      </c>
      <c r="L33" s="31">
        <f>IF(K33="","",REPT("█",ROUND(MIN(1,MAX(0,K33))*10,0))&amp;REPT("░",10-ROUND(MIN(1,MAX(0,K33))*10,0)))</f>
        <v/>
      </c>
    </row>
    <row r="34">
      <c r="B34" s="27" t="n"/>
      <c r="C34" s="28" t="n"/>
      <c r="D34" s="15" t="n"/>
      <c r="E34" s="24" t="n"/>
      <c r="G34" s="10">
        <f>IF('Setup'!E32="","",'Setup'!E32)</f>
        <v/>
      </c>
      <c r="H34" s="20">
        <f>IF(G34="","",'Setup'!G32)</f>
        <v/>
      </c>
      <c r="I34" s="20">
        <f>IF(G34="","",SUMIFS($E$7:$E$86,$D$7:$D$86,G34))</f>
        <v/>
      </c>
      <c r="J34" s="20">
        <f>IF(G34="","",H34-I34)</f>
        <v/>
      </c>
      <c r="K34" s="30">
        <f>IF(OR(G34="",H34=0),"",I34/H34)</f>
        <v/>
      </c>
      <c r="L34" s="31">
        <f>IF(K34="","",REPT("█",ROUND(MIN(1,MAX(0,K34))*10,0))&amp;REPT("░",10-ROUND(MIN(1,MAX(0,K34))*10,0)))</f>
        <v/>
      </c>
    </row>
    <row r="35">
      <c r="B35" s="27" t="n"/>
      <c r="C35" s="28" t="n"/>
      <c r="D35" s="15" t="n"/>
      <c r="E35" s="24" t="n"/>
      <c r="G35" s="10">
        <f>IF('Setup'!E33="","",'Setup'!E33)</f>
        <v/>
      </c>
      <c r="H35" s="20">
        <f>IF(G35="","",'Setup'!G33)</f>
        <v/>
      </c>
      <c r="I35" s="20">
        <f>IF(G35="","",SUMIFS($E$7:$E$86,$D$7:$D$86,G35))</f>
        <v/>
      </c>
      <c r="J35" s="20">
        <f>IF(G35="","",H35-I35)</f>
        <v/>
      </c>
      <c r="K35" s="30">
        <f>IF(OR(G35="",H35=0),"",I35/H35)</f>
        <v/>
      </c>
      <c r="L35" s="31">
        <f>IF(K35="","",REPT("█",ROUND(MIN(1,MAX(0,K35))*10,0))&amp;REPT("░",10-ROUND(MIN(1,MAX(0,K35))*10,0)))</f>
        <v/>
      </c>
    </row>
    <row r="36">
      <c r="B36" s="27" t="n"/>
      <c r="C36" s="28" t="n"/>
      <c r="D36" s="15" t="n"/>
      <c r="E36" s="24" t="n"/>
      <c r="G36" s="10">
        <f>IF('Setup'!E34="","",'Setup'!E34)</f>
        <v/>
      </c>
      <c r="H36" s="20">
        <f>IF(G36="","",'Setup'!G34)</f>
        <v/>
      </c>
      <c r="I36" s="20">
        <f>IF(G36="","",SUMIFS($E$7:$E$86,$D$7:$D$86,G36))</f>
        <v/>
      </c>
      <c r="J36" s="20">
        <f>IF(G36="","",H36-I36)</f>
        <v/>
      </c>
      <c r="K36" s="30">
        <f>IF(OR(G36="",H36=0),"",I36/H36)</f>
        <v/>
      </c>
      <c r="L36" s="31">
        <f>IF(K36="","",REPT("█",ROUND(MIN(1,MAX(0,K36))*10,0))&amp;REPT("░",10-ROUND(MIN(1,MAX(0,K36))*10,0)))</f>
        <v/>
      </c>
    </row>
    <row r="37">
      <c r="B37" s="27" t="n"/>
      <c r="C37" s="28" t="n"/>
      <c r="D37" s="15" t="n"/>
      <c r="E37" s="24" t="n"/>
      <c r="G37" s="10">
        <f>IF('Setup'!E35="","",'Setup'!E35)</f>
        <v/>
      </c>
      <c r="H37" s="20">
        <f>IF(G37="","",'Setup'!G35)</f>
        <v/>
      </c>
      <c r="I37" s="20">
        <f>IF(G37="","",SUMIFS($E$7:$E$86,$D$7:$D$86,G37))</f>
        <v/>
      </c>
      <c r="J37" s="20">
        <f>IF(G37="","",H37-I37)</f>
        <v/>
      </c>
      <c r="K37" s="30">
        <f>IF(OR(G37="",H37=0),"",I37/H37)</f>
        <v/>
      </c>
      <c r="L37" s="31">
        <f>IF(K37="","",REPT("█",ROUND(MIN(1,MAX(0,K37))*10,0))&amp;REPT("░",10-ROUND(MIN(1,MAX(0,K37))*10,0)))</f>
        <v/>
      </c>
    </row>
    <row r="38">
      <c r="B38" s="27" t="n"/>
      <c r="C38" s="28" t="n"/>
      <c r="D38" s="15" t="n"/>
      <c r="E38" s="24" t="n"/>
      <c r="G38" s="10">
        <f>IF('Setup'!E36="","",'Setup'!E36)</f>
        <v/>
      </c>
      <c r="H38" s="20">
        <f>IF(G38="","",'Setup'!G36)</f>
        <v/>
      </c>
      <c r="I38" s="20">
        <f>IF(G38="","",SUMIFS($E$7:$E$86,$D$7:$D$86,G38))</f>
        <v/>
      </c>
      <c r="J38" s="20">
        <f>IF(G38="","",H38-I38)</f>
        <v/>
      </c>
      <c r="K38" s="30">
        <f>IF(OR(G38="",H38=0),"",I38/H38)</f>
        <v/>
      </c>
      <c r="L38" s="31">
        <f>IF(K38="","",REPT("█",ROUND(MIN(1,MAX(0,K38))*10,0))&amp;REPT("░",10-ROUND(MIN(1,MAX(0,K38))*10,0)))</f>
        <v/>
      </c>
    </row>
    <row r="39">
      <c r="B39" s="27" t="n"/>
      <c r="C39" s="28" t="n"/>
      <c r="D39" s="15" t="n"/>
      <c r="E39" s="24" t="n"/>
      <c r="G39" s="10">
        <f>IF('Setup'!E37="","",'Setup'!E37)</f>
        <v/>
      </c>
      <c r="H39" s="20">
        <f>IF(G39="","",'Setup'!G37)</f>
        <v/>
      </c>
      <c r="I39" s="20">
        <f>IF(G39="","",SUMIFS($E$7:$E$86,$D$7:$D$86,G39))</f>
        <v/>
      </c>
      <c r="J39" s="20">
        <f>IF(G39="","",H39-I39)</f>
        <v/>
      </c>
      <c r="K39" s="30">
        <f>IF(OR(G39="",H39=0),"",I39/H39)</f>
        <v/>
      </c>
      <c r="L39" s="31">
        <f>IF(K39="","",REPT("█",ROUND(MIN(1,MAX(0,K39))*10,0))&amp;REPT("░",10-ROUND(MIN(1,MAX(0,K39))*10,0)))</f>
        <v/>
      </c>
    </row>
    <row r="40">
      <c r="B40" s="27" t="n"/>
      <c r="C40" s="28" t="n"/>
      <c r="D40" s="15" t="n"/>
      <c r="E40" s="24" t="n"/>
      <c r="G40" s="10">
        <f>IF('Setup'!E38="","",'Setup'!E38)</f>
        <v/>
      </c>
      <c r="H40" s="20">
        <f>IF(G40="","",'Setup'!G38)</f>
        <v/>
      </c>
      <c r="I40" s="20">
        <f>IF(G40="","",SUMIFS($E$7:$E$86,$D$7:$D$86,G40))</f>
        <v/>
      </c>
      <c r="J40" s="20">
        <f>IF(G40="","",H40-I40)</f>
        <v/>
      </c>
      <c r="K40" s="30">
        <f>IF(OR(G40="",H40=0),"",I40/H40)</f>
        <v/>
      </c>
      <c r="L40" s="31">
        <f>IF(K40="","",REPT("█",ROUND(MIN(1,MAX(0,K40))*10,0))&amp;REPT("░",10-ROUND(MIN(1,MAX(0,K40))*10,0)))</f>
        <v/>
      </c>
    </row>
    <row r="41">
      <c r="B41" s="27" t="n"/>
      <c r="C41" s="28" t="n"/>
      <c r="D41" s="15" t="n"/>
      <c r="E41" s="24" t="n"/>
      <c r="G41" s="10">
        <f>IF('Setup'!E39="","",'Setup'!E39)</f>
        <v/>
      </c>
      <c r="H41" s="20">
        <f>IF(G41="","",'Setup'!G39)</f>
        <v/>
      </c>
      <c r="I41" s="20">
        <f>IF(G41="","",SUMIFS($E$7:$E$86,$D$7:$D$86,G41))</f>
        <v/>
      </c>
      <c r="J41" s="20">
        <f>IF(G41="","",H41-I41)</f>
        <v/>
      </c>
      <c r="K41" s="30">
        <f>IF(OR(G41="",H41=0),"",I41/H41)</f>
        <v/>
      </c>
      <c r="L41" s="31">
        <f>IF(K41="","",REPT("█",ROUND(MIN(1,MAX(0,K41))*10,0))&amp;REPT("░",10-ROUND(MIN(1,MAX(0,K41))*10,0)))</f>
        <v/>
      </c>
    </row>
    <row r="42">
      <c r="B42" s="27" t="n"/>
      <c r="C42" s="28" t="n"/>
      <c r="D42" s="15" t="n"/>
      <c r="E42" s="24" t="n"/>
    </row>
    <row r="43">
      <c r="B43" s="27" t="n"/>
      <c r="C43" s="28" t="n"/>
      <c r="D43" s="15" t="n"/>
      <c r="E43" s="24" t="n"/>
    </row>
    <row r="44">
      <c r="B44" s="27" t="n"/>
      <c r="C44" s="28" t="n"/>
      <c r="D44" s="15" t="n"/>
      <c r="E44" s="24" t="n"/>
    </row>
    <row r="45">
      <c r="B45" s="27" t="n"/>
      <c r="C45" s="28" t="n"/>
      <c r="D45" s="15" t="n"/>
      <c r="E45" s="24" t="n"/>
    </row>
    <row r="46">
      <c r="B46" s="27" t="n"/>
      <c r="C46" s="28" t="n"/>
      <c r="D46" s="15" t="n"/>
      <c r="E46" s="24" t="n"/>
    </row>
    <row r="47">
      <c r="B47" s="27" t="n"/>
      <c r="C47" s="28" t="n"/>
      <c r="D47" s="15" t="n"/>
      <c r="E47" s="24" t="n"/>
    </row>
    <row r="48">
      <c r="B48" s="27" t="n"/>
      <c r="C48" s="28" t="n"/>
      <c r="D48" s="15" t="n"/>
      <c r="E48" s="24" t="n"/>
    </row>
    <row r="49">
      <c r="B49" s="27" t="n"/>
      <c r="C49" s="28" t="n"/>
      <c r="D49" s="15" t="n"/>
      <c r="E49" s="24" t="n"/>
    </row>
    <row r="50">
      <c r="B50" s="27" t="n"/>
      <c r="C50" s="28" t="n"/>
      <c r="D50" s="15" t="n"/>
      <c r="E50" s="24" t="n"/>
    </row>
    <row r="51">
      <c r="B51" s="27" t="n"/>
      <c r="C51" s="28" t="n"/>
      <c r="D51" s="15" t="n"/>
      <c r="E51" s="24" t="n"/>
    </row>
    <row r="52">
      <c r="B52" s="27" t="n"/>
      <c r="C52" s="28" t="n"/>
      <c r="D52" s="15" t="n"/>
      <c r="E52" s="24" t="n"/>
    </row>
    <row r="53">
      <c r="B53" s="27" t="n"/>
      <c r="C53" s="28" t="n"/>
      <c r="D53" s="15" t="n"/>
      <c r="E53" s="24" t="n"/>
    </row>
    <row r="54">
      <c r="B54" s="27" t="n"/>
      <c r="C54" s="28" t="n"/>
      <c r="D54" s="15" t="n"/>
      <c r="E54" s="24" t="n"/>
    </row>
    <row r="55">
      <c r="B55" s="27" t="n"/>
      <c r="C55" s="28" t="n"/>
      <c r="D55" s="15" t="n"/>
      <c r="E55" s="24" t="n"/>
    </row>
    <row r="56">
      <c r="B56" s="27" t="n"/>
      <c r="C56" s="28" t="n"/>
      <c r="D56" s="15" t="n"/>
      <c r="E56" s="24" t="n"/>
    </row>
    <row r="57">
      <c r="B57" s="27" t="n"/>
      <c r="C57" s="28" t="n"/>
      <c r="D57" s="15" t="n"/>
      <c r="E57" s="24" t="n"/>
    </row>
    <row r="58">
      <c r="B58" s="27" t="n"/>
      <c r="C58" s="28" t="n"/>
      <c r="D58" s="15" t="n"/>
      <c r="E58" s="24" t="n"/>
    </row>
    <row r="59">
      <c r="B59" s="27" t="n"/>
      <c r="C59" s="28" t="n"/>
      <c r="D59" s="15" t="n"/>
      <c r="E59" s="24" t="n"/>
    </row>
    <row r="60">
      <c r="B60" s="27" t="n"/>
      <c r="C60" s="28" t="n"/>
      <c r="D60" s="15" t="n"/>
      <c r="E60" s="24" t="n"/>
    </row>
    <row r="61">
      <c r="B61" s="27" t="n"/>
      <c r="C61" s="28" t="n"/>
      <c r="D61" s="15" t="n"/>
      <c r="E61" s="24" t="n"/>
    </row>
    <row r="62">
      <c r="B62" s="27" t="n"/>
      <c r="C62" s="28" t="n"/>
      <c r="D62" s="15" t="n"/>
      <c r="E62" s="24" t="n"/>
    </row>
    <row r="63">
      <c r="B63" s="27" t="n"/>
      <c r="C63" s="28" t="n"/>
      <c r="D63" s="15" t="n"/>
      <c r="E63" s="24" t="n"/>
    </row>
    <row r="64">
      <c r="B64" s="27" t="n"/>
      <c r="C64" s="28" t="n"/>
      <c r="D64" s="15" t="n"/>
      <c r="E64" s="24" t="n"/>
    </row>
    <row r="65">
      <c r="B65" s="27" t="n"/>
      <c r="C65" s="28" t="n"/>
      <c r="D65" s="15" t="n"/>
      <c r="E65" s="24" t="n"/>
    </row>
    <row r="66">
      <c r="B66" s="27" t="n"/>
      <c r="C66" s="28" t="n"/>
      <c r="D66" s="15" t="n"/>
      <c r="E66" s="24" t="n"/>
    </row>
    <row r="67">
      <c r="B67" s="27" t="n"/>
      <c r="C67" s="28" t="n"/>
      <c r="D67" s="15" t="n"/>
      <c r="E67" s="24" t="n"/>
    </row>
    <row r="68">
      <c r="B68" s="27" t="n"/>
      <c r="C68" s="28" t="n"/>
      <c r="D68" s="15" t="n"/>
      <c r="E68" s="24" t="n"/>
    </row>
    <row r="69">
      <c r="B69" s="27" t="n"/>
      <c r="C69" s="28" t="n"/>
      <c r="D69" s="15" t="n"/>
      <c r="E69" s="24" t="n"/>
    </row>
    <row r="70">
      <c r="B70" s="27" t="n"/>
      <c r="C70" s="28" t="n"/>
      <c r="D70" s="15" t="n"/>
      <c r="E70" s="24" t="n"/>
    </row>
    <row r="71">
      <c r="B71" s="27" t="n"/>
      <c r="C71" s="28" t="n"/>
      <c r="D71" s="15" t="n"/>
      <c r="E71" s="24" t="n"/>
    </row>
    <row r="72">
      <c r="B72" s="27" t="n"/>
      <c r="C72" s="28" t="n"/>
      <c r="D72" s="15" t="n"/>
      <c r="E72" s="24" t="n"/>
    </row>
    <row r="73">
      <c r="B73" s="27" t="n"/>
      <c r="C73" s="28" t="n"/>
      <c r="D73" s="15" t="n"/>
      <c r="E73" s="24" t="n"/>
    </row>
    <row r="74">
      <c r="B74" s="27" t="n"/>
      <c r="C74" s="28" t="n"/>
      <c r="D74" s="15" t="n"/>
      <c r="E74" s="24" t="n"/>
    </row>
    <row r="75">
      <c r="B75" s="27" t="n"/>
      <c r="C75" s="28" t="n"/>
      <c r="D75" s="15" t="n"/>
      <c r="E75" s="24" t="n"/>
    </row>
    <row r="76">
      <c r="B76" s="27" t="n"/>
      <c r="C76" s="28" t="n"/>
      <c r="D76" s="15" t="n"/>
      <c r="E76" s="24" t="n"/>
    </row>
    <row r="77">
      <c r="B77" s="27" t="n"/>
      <c r="C77" s="28" t="n"/>
      <c r="D77" s="15" t="n"/>
      <c r="E77" s="24" t="n"/>
    </row>
    <row r="78">
      <c r="B78" s="27" t="n"/>
      <c r="C78" s="28" t="n"/>
      <c r="D78" s="15" t="n"/>
      <c r="E78" s="24" t="n"/>
    </row>
    <row r="79">
      <c r="B79" s="27" t="n"/>
      <c r="C79" s="28" t="n"/>
      <c r="D79" s="15" t="n"/>
      <c r="E79" s="24" t="n"/>
    </row>
    <row r="80">
      <c r="B80" s="27" t="n"/>
      <c r="C80" s="28" t="n"/>
      <c r="D80" s="15" t="n"/>
      <c r="E80" s="24" t="n"/>
    </row>
    <row r="81">
      <c r="B81" s="27" t="n"/>
      <c r="C81" s="28" t="n"/>
      <c r="D81" s="15" t="n"/>
      <c r="E81" s="24" t="n"/>
    </row>
    <row r="82">
      <c r="B82" s="27" t="n"/>
      <c r="C82" s="28" t="n"/>
      <c r="D82" s="15" t="n"/>
      <c r="E82" s="24" t="n"/>
    </row>
    <row r="83">
      <c r="B83" s="27" t="n"/>
      <c r="C83" s="28" t="n"/>
      <c r="D83" s="15" t="n"/>
      <c r="E83" s="24" t="n"/>
    </row>
    <row r="84">
      <c r="B84" s="27" t="n"/>
      <c r="C84" s="28" t="n"/>
      <c r="D84" s="15" t="n"/>
      <c r="E84" s="24" t="n"/>
    </row>
    <row r="85">
      <c r="B85" s="27" t="n"/>
      <c r="C85" s="28" t="n"/>
      <c r="D85" s="15" t="n"/>
      <c r="E85" s="24" t="n"/>
    </row>
    <row r="86">
      <c r="B86" s="27" t="n"/>
      <c r="C86" s="28" t="n"/>
      <c r="D86" s="15" t="n"/>
      <c r="E86" s="24" t="n"/>
    </row>
  </sheetData>
  <sheetProtection selectLockedCells="0" selectUnlockedCells="0" sheet="1" objects="0" insertRows="0" insertHyperlinks="1" autoFilter="0" scenarios="0" formatColumns="0" deleteColumns="1" insertColumns="1" pivotTables="1" deleteRows="1" formatCells="1" formatRows="0" sort="0"/>
  <conditionalFormatting sqref="H8">
    <cfRule type="cellIs" priority="1" operator="lessThan" dxfId="1">
      <formula>0</formula>
    </cfRule>
  </conditionalFormatting>
  <conditionalFormatting sqref="J12:J41">
    <cfRule type="cellIs" priority="2" operator="lessThan" dxfId="1">
      <formula>0</formula>
    </cfRule>
  </conditionalFormatting>
  <conditionalFormatting sqref="L12:L41">
    <cfRule type="expression" priority="3" dxfId="2">
      <formula>K12&gt;1</formula>
    </cfRule>
  </conditionalFormatting>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showDropDown="0" showInputMessage="0" showErrorMessage="0" allowBlank="1" type="list">
      <formula1>=Categories</formula1>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gridLines="0"/>
  <pageMargins left="0.75" right="0.75" top="1" bottom="1" header="0.5" footer="0.5"/>
  <pageSetup orientation="landscape" fitToHeight="1" fitToWidth="1"/>
</worksheet>
</file>

<file path=xl/worksheets/sheet15.xml><?xml version="1.0" encoding="utf-8"?>
<worksheet xmlns="http://schemas.openxmlformats.org/spreadsheetml/2006/main">
  <sheetPr>
    <tabColor rgb="002F6F5E"/>
    <outlinePr summaryBelow="1" summaryRight="1"/>
    <pageSetUpPr fitToPage="1"/>
  </sheetPr>
  <dimension ref="B2:L86"/>
  <sheetViews>
    <sheetView showGridLines="0" workbookViewId="0">
      <pane ySplit="6" topLeftCell="A7" activePane="bottomLeft" state="frozen"/>
      <selection pane="bottomLeft" activeCell="A1" sqref="A1"/>
    </sheetView>
  </sheetViews>
  <sheetFormatPr baseColWidth="8" defaultRowHeight="15"/>
  <cols>
    <col width="3" customWidth="1" min="1" max="1"/>
    <col width="12" customWidth="1" min="2" max="2"/>
    <col width="26" customWidth="1" min="3" max="3"/>
    <col width="22" customWidth="1" min="4" max="4"/>
    <col width="14" customWidth="1" min="5" max="5"/>
    <col width="14" customWidth="1" min="6" max="6"/>
    <col width="22" customWidth="1" min="7" max="7"/>
    <col width="13" customWidth="1" min="8" max="8"/>
    <col width="13" customWidth="1" min="9" max="9"/>
    <col width="13" customWidth="1" min="10" max="10"/>
    <col width="9"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December</t>
        </is>
      </c>
    </row>
    <row r="3">
      <c r="B3" s="2" t="inlineStr">
        <is>
          <t>Log what you spend. The summary on the right updates itself.</t>
        </is>
      </c>
    </row>
    <row r="4">
      <c r="B4" s="3" t="inlineStr">
        <is>
          <t>Start here</t>
        </is>
      </c>
      <c r="D4" s="3" t="inlineStr">
        <is>
          <t>Dashboard</t>
        </is>
      </c>
      <c r="E4" s="3" t="inlineStr">
        <is>
          <t>Setup</t>
        </is>
      </c>
      <c r="F4" s="3" t="inlineStr">
        <is>
          <t>Months</t>
        </is>
      </c>
      <c r="G4" s="3" t="inlineStr">
        <is>
          <t>Bills</t>
        </is>
      </c>
      <c r="H4" s="3" t="inlineStr">
        <is>
          <t>Paycheck</t>
        </is>
      </c>
      <c r="I4" s="3" t="inlineStr">
        <is>
          <t>Debt</t>
        </is>
      </c>
      <c r="J4" s="3" t="inlineStr">
        <is>
          <t>Savings</t>
        </is>
      </c>
    </row>
    <row r="6" ht="22" customHeight="1">
      <c r="B6" s="9" t="inlineStr">
        <is>
          <t>Date</t>
        </is>
      </c>
      <c r="C6" s="9" t="inlineStr">
        <is>
          <t>What</t>
        </is>
      </c>
      <c r="D6" s="9" t="inlineStr">
        <is>
          <t>Category</t>
        </is>
      </c>
      <c r="E6" s="9" t="inlineStr">
        <is>
          <t>Amount</t>
        </is>
      </c>
      <c r="G6" s="17" t="inlineStr">
        <is>
          <t>Income this month</t>
        </is>
      </c>
      <c r="H6" s="25">
        <f>'Setup'!$C$18</f>
        <v/>
      </c>
      <c r="I6" s="26" t="inlineStr">
        <is>
          <t>Type over this if your income was different</t>
        </is>
      </c>
    </row>
    <row r="7">
      <c r="B7" s="27" t="n"/>
      <c r="C7" s="28" t="n"/>
      <c r="D7" s="15" t="n"/>
      <c r="E7" s="24" t="n"/>
      <c r="G7" s="17" t="inlineStr">
        <is>
          <t>Spent</t>
        </is>
      </c>
      <c r="H7" s="29">
        <f>SUM(E7:E86)</f>
        <v/>
      </c>
    </row>
    <row r="8">
      <c r="B8" s="27" t="n"/>
      <c r="C8" s="28" t="n"/>
      <c r="D8" s="15" t="n"/>
      <c r="E8" s="24" t="n"/>
      <c r="G8" s="17" t="inlineStr">
        <is>
          <t>Left over</t>
        </is>
      </c>
      <c r="H8" s="29">
        <f>H6-H7</f>
        <v/>
      </c>
    </row>
    <row r="9">
      <c r="B9" s="27" t="n"/>
      <c r="C9" s="28" t="n"/>
      <c r="D9" s="15" t="n"/>
      <c r="E9" s="24" t="n"/>
      <c r="G9" s="17" t="inlineStr">
        <is>
          <t>Saved and debt paid</t>
        </is>
      </c>
      <c r="H9" s="29">
        <f>SUMPRODUCT(SUMIFS($E$7:$E$86,$D$7:$D$86,'Setup'!$E$10:$E$39)*(('Setup'!$F$10:$F$39="Savings")+('Setup'!$F$10:$F$39="Debt")))</f>
        <v/>
      </c>
    </row>
    <row r="10">
      <c r="B10" s="27" t="n"/>
      <c r="C10" s="28" t="n"/>
      <c r="D10" s="15" t="n"/>
      <c r="E10" s="24" t="n"/>
    </row>
    <row r="11" ht="22" customHeight="1">
      <c r="B11" s="27" t="n"/>
      <c r="C11" s="28" t="n"/>
      <c r="D11" s="15" t="n"/>
      <c r="E11" s="24" t="n"/>
      <c r="G11" s="9" t="inlineStr">
        <is>
          <t>Category</t>
        </is>
      </c>
      <c r="H11" s="9" t="inlineStr">
        <is>
          <t>Budget</t>
        </is>
      </c>
      <c r="I11" s="9" t="inlineStr">
        <is>
          <t>Spent</t>
        </is>
      </c>
      <c r="J11" s="9" t="inlineStr">
        <is>
          <t>Left</t>
        </is>
      </c>
      <c r="K11" s="9" t="inlineStr">
        <is>
          <t>Used</t>
        </is>
      </c>
      <c r="L11" s="9" t="inlineStr"/>
    </row>
    <row r="12">
      <c r="B12" s="27" t="n"/>
      <c r="C12" s="28" t="n"/>
      <c r="D12" s="15" t="n"/>
      <c r="E12" s="24" t="n"/>
      <c r="G12" s="10">
        <f>IF('Setup'!E10="","",'Setup'!E10)</f>
        <v/>
      </c>
      <c r="H12" s="20">
        <f>IF(G12="","",'Setup'!G10)</f>
        <v/>
      </c>
      <c r="I12" s="20">
        <f>IF(G12="","",SUMIFS($E$7:$E$86,$D$7:$D$86,G12))</f>
        <v/>
      </c>
      <c r="J12" s="20">
        <f>IF(G12="","",H12-I12)</f>
        <v/>
      </c>
      <c r="K12" s="30">
        <f>IF(OR(G12="",H12=0),"",I12/H12)</f>
        <v/>
      </c>
      <c r="L12" s="31">
        <f>IF(K12="","",REPT("█",ROUND(MIN(1,MAX(0,K12))*10,0))&amp;REPT("░",10-ROUND(MIN(1,MAX(0,K12))*10,0)))</f>
        <v/>
      </c>
    </row>
    <row r="13">
      <c r="B13" s="27" t="n"/>
      <c r="C13" s="28" t="n"/>
      <c r="D13" s="15" t="n"/>
      <c r="E13" s="24" t="n"/>
      <c r="G13" s="10">
        <f>IF('Setup'!E11="","",'Setup'!E11)</f>
        <v/>
      </c>
      <c r="H13" s="20">
        <f>IF(G13="","",'Setup'!G11)</f>
        <v/>
      </c>
      <c r="I13" s="20">
        <f>IF(G13="","",SUMIFS($E$7:$E$86,$D$7:$D$86,G13))</f>
        <v/>
      </c>
      <c r="J13" s="20">
        <f>IF(G13="","",H13-I13)</f>
        <v/>
      </c>
      <c r="K13" s="30">
        <f>IF(OR(G13="",H13=0),"",I13/H13)</f>
        <v/>
      </c>
      <c r="L13" s="31">
        <f>IF(K13="","",REPT("█",ROUND(MIN(1,MAX(0,K13))*10,0))&amp;REPT("░",10-ROUND(MIN(1,MAX(0,K13))*10,0)))</f>
        <v/>
      </c>
    </row>
    <row r="14">
      <c r="B14" s="27" t="n"/>
      <c r="C14" s="28" t="n"/>
      <c r="D14" s="15" t="n"/>
      <c r="E14" s="24" t="n"/>
      <c r="G14" s="10">
        <f>IF('Setup'!E12="","",'Setup'!E12)</f>
        <v/>
      </c>
      <c r="H14" s="20">
        <f>IF(G14="","",'Setup'!G12)</f>
        <v/>
      </c>
      <c r="I14" s="20">
        <f>IF(G14="","",SUMIFS($E$7:$E$86,$D$7:$D$86,G14))</f>
        <v/>
      </c>
      <c r="J14" s="20">
        <f>IF(G14="","",H14-I14)</f>
        <v/>
      </c>
      <c r="K14" s="30">
        <f>IF(OR(G14="",H14=0),"",I14/H14)</f>
        <v/>
      </c>
      <c r="L14" s="31">
        <f>IF(K14="","",REPT("█",ROUND(MIN(1,MAX(0,K14))*10,0))&amp;REPT("░",10-ROUND(MIN(1,MAX(0,K14))*10,0)))</f>
        <v/>
      </c>
    </row>
    <row r="15">
      <c r="B15" s="27" t="n"/>
      <c r="C15" s="28" t="n"/>
      <c r="D15" s="15" t="n"/>
      <c r="E15" s="24" t="n"/>
      <c r="G15" s="10">
        <f>IF('Setup'!E13="","",'Setup'!E13)</f>
        <v/>
      </c>
      <c r="H15" s="20">
        <f>IF(G15="","",'Setup'!G13)</f>
        <v/>
      </c>
      <c r="I15" s="20">
        <f>IF(G15="","",SUMIFS($E$7:$E$86,$D$7:$D$86,G15))</f>
        <v/>
      </c>
      <c r="J15" s="20">
        <f>IF(G15="","",H15-I15)</f>
        <v/>
      </c>
      <c r="K15" s="30">
        <f>IF(OR(G15="",H15=0),"",I15/H15)</f>
        <v/>
      </c>
      <c r="L15" s="31">
        <f>IF(K15="","",REPT("█",ROUND(MIN(1,MAX(0,K15))*10,0))&amp;REPT("░",10-ROUND(MIN(1,MAX(0,K15))*10,0)))</f>
        <v/>
      </c>
    </row>
    <row r="16">
      <c r="B16" s="27" t="n"/>
      <c r="C16" s="28" t="n"/>
      <c r="D16" s="15" t="n"/>
      <c r="E16" s="24" t="n"/>
      <c r="G16" s="10">
        <f>IF('Setup'!E14="","",'Setup'!E14)</f>
        <v/>
      </c>
      <c r="H16" s="20">
        <f>IF(G16="","",'Setup'!G14)</f>
        <v/>
      </c>
      <c r="I16" s="20">
        <f>IF(G16="","",SUMIFS($E$7:$E$86,$D$7:$D$86,G16))</f>
        <v/>
      </c>
      <c r="J16" s="20">
        <f>IF(G16="","",H16-I16)</f>
        <v/>
      </c>
      <c r="K16" s="30">
        <f>IF(OR(G16="",H16=0),"",I16/H16)</f>
        <v/>
      </c>
      <c r="L16" s="31">
        <f>IF(K16="","",REPT("█",ROUND(MIN(1,MAX(0,K16))*10,0))&amp;REPT("░",10-ROUND(MIN(1,MAX(0,K16))*10,0)))</f>
        <v/>
      </c>
    </row>
    <row r="17">
      <c r="B17" s="27" t="n"/>
      <c r="C17" s="28" t="n"/>
      <c r="D17" s="15" t="n"/>
      <c r="E17" s="24" t="n"/>
      <c r="G17" s="10">
        <f>IF('Setup'!E15="","",'Setup'!E15)</f>
        <v/>
      </c>
      <c r="H17" s="20">
        <f>IF(G17="","",'Setup'!G15)</f>
        <v/>
      </c>
      <c r="I17" s="20">
        <f>IF(G17="","",SUMIFS($E$7:$E$86,$D$7:$D$86,G17))</f>
        <v/>
      </c>
      <c r="J17" s="20">
        <f>IF(G17="","",H17-I17)</f>
        <v/>
      </c>
      <c r="K17" s="30">
        <f>IF(OR(G17="",H17=0),"",I17/H17)</f>
        <v/>
      </c>
      <c r="L17" s="31">
        <f>IF(K17="","",REPT("█",ROUND(MIN(1,MAX(0,K17))*10,0))&amp;REPT("░",10-ROUND(MIN(1,MAX(0,K17))*10,0)))</f>
        <v/>
      </c>
    </row>
    <row r="18">
      <c r="B18" s="27" t="n"/>
      <c r="C18" s="28" t="n"/>
      <c r="D18" s="15" t="n"/>
      <c r="E18" s="24" t="n"/>
      <c r="G18" s="10">
        <f>IF('Setup'!E16="","",'Setup'!E16)</f>
        <v/>
      </c>
      <c r="H18" s="20">
        <f>IF(G18="","",'Setup'!G16)</f>
        <v/>
      </c>
      <c r="I18" s="20">
        <f>IF(G18="","",SUMIFS($E$7:$E$86,$D$7:$D$86,G18))</f>
        <v/>
      </c>
      <c r="J18" s="20">
        <f>IF(G18="","",H18-I18)</f>
        <v/>
      </c>
      <c r="K18" s="30">
        <f>IF(OR(G18="",H18=0),"",I18/H18)</f>
        <v/>
      </c>
      <c r="L18" s="31">
        <f>IF(K18="","",REPT("█",ROUND(MIN(1,MAX(0,K18))*10,0))&amp;REPT("░",10-ROUND(MIN(1,MAX(0,K18))*10,0)))</f>
        <v/>
      </c>
    </row>
    <row r="19">
      <c r="B19" s="27" t="n"/>
      <c r="C19" s="28" t="n"/>
      <c r="D19" s="15" t="n"/>
      <c r="E19" s="24" t="n"/>
      <c r="G19" s="10">
        <f>IF('Setup'!E17="","",'Setup'!E17)</f>
        <v/>
      </c>
      <c r="H19" s="20">
        <f>IF(G19="","",'Setup'!G17)</f>
        <v/>
      </c>
      <c r="I19" s="20">
        <f>IF(G19="","",SUMIFS($E$7:$E$86,$D$7:$D$86,G19))</f>
        <v/>
      </c>
      <c r="J19" s="20">
        <f>IF(G19="","",H19-I19)</f>
        <v/>
      </c>
      <c r="K19" s="30">
        <f>IF(OR(G19="",H19=0),"",I19/H19)</f>
        <v/>
      </c>
      <c r="L19" s="31">
        <f>IF(K19="","",REPT("█",ROUND(MIN(1,MAX(0,K19))*10,0))&amp;REPT("░",10-ROUND(MIN(1,MAX(0,K19))*10,0)))</f>
        <v/>
      </c>
    </row>
    <row r="20">
      <c r="B20" s="27" t="n"/>
      <c r="C20" s="28" t="n"/>
      <c r="D20" s="15" t="n"/>
      <c r="E20" s="24" t="n"/>
      <c r="G20" s="10">
        <f>IF('Setup'!E18="","",'Setup'!E18)</f>
        <v/>
      </c>
      <c r="H20" s="20">
        <f>IF(G20="","",'Setup'!G18)</f>
        <v/>
      </c>
      <c r="I20" s="20">
        <f>IF(G20="","",SUMIFS($E$7:$E$86,$D$7:$D$86,G20))</f>
        <v/>
      </c>
      <c r="J20" s="20">
        <f>IF(G20="","",H20-I20)</f>
        <v/>
      </c>
      <c r="K20" s="30">
        <f>IF(OR(G20="",H20=0),"",I20/H20)</f>
        <v/>
      </c>
      <c r="L20" s="31">
        <f>IF(K20="","",REPT("█",ROUND(MIN(1,MAX(0,K20))*10,0))&amp;REPT("░",10-ROUND(MIN(1,MAX(0,K20))*10,0)))</f>
        <v/>
      </c>
    </row>
    <row r="21">
      <c r="B21" s="27" t="n"/>
      <c r="C21" s="28" t="n"/>
      <c r="D21" s="15" t="n"/>
      <c r="E21" s="24" t="n"/>
      <c r="G21" s="10">
        <f>IF('Setup'!E19="","",'Setup'!E19)</f>
        <v/>
      </c>
      <c r="H21" s="20">
        <f>IF(G21="","",'Setup'!G19)</f>
        <v/>
      </c>
      <c r="I21" s="20">
        <f>IF(G21="","",SUMIFS($E$7:$E$86,$D$7:$D$86,G21))</f>
        <v/>
      </c>
      <c r="J21" s="20">
        <f>IF(G21="","",H21-I21)</f>
        <v/>
      </c>
      <c r="K21" s="30">
        <f>IF(OR(G21="",H21=0),"",I21/H21)</f>
        <v/>
      </c>
      <c r="L21" s="31">
        <f>IF(K21="","",REPT("█",ROUND(MIN(1,MAX(0,K21))*10,0))&amp;REPT("░",10-ROUND(MIN(1,MAX(0,K21))*10,0)))</f>
        <v/>
      </c>
    </row>
    <row r="22">
      <c r="B22" s="27" t="n"/>
      <c r="C22" s="28" t="n"/>
      <c r="D22" s="15" t="n"/>
      <c r="E22" s="24" t="n"/>
      <c r="G22" s="10">
        <f>IF('Setup'!E20="","",'Setup'!E20)</f>
        <v/>
      </c>
      <c r="H22" s="20">
        <f>IF(G22="","",'Setup'!G20)</f>
        <v/>
      </c>
      <c r="I22" s="20">
        <f>IF(G22="","",SUMIFS($E$7:$E$86,$D$7:$D$86,G22))</f>
        <v/>
      </c>
      <c r="J22" s="20">
        <f>IF(G22="","",H22-I22)</f>
        <v/>
      </c>
      <c r="K22" s="30">
        <f>IF(OR(G22="",H22=0),"",I22/H22)</f>
        <v/>
      </c>
      <c r="L22" s="31">
        <f>IF(K22="","",REPT("█",ROUND(MIN(1,MAX(0,K22))*10,0))&amp;REPT("░",10-ROUND(MIN(1,MAX(0,K22))*10,0)))</f>
        <v/>
      </c>
    </row>
    <row r="23">
      <c r="B23" s="27" t="n"/>
      <c r="C23" s="28" t="n"/>
      <c r="D23" s="15" t="n"/>
      <c r="E23" s="24" t="n"/>
      <c r="G23" s="10">
        <f>IF('Setup'!E21="","",'Setup'!E21)</f>
        <v/>
      </c>
      <c r="H23" s="20">
        <f>IF(G23="","",'Setup'!G21)</f>
        <v/>
      </c>
      <c r="I23" s="20">
        <f>IF(G23="","",SUMIFS($E$7:$E$86,$D$7:$D$86,G23))</f>
        <v/>
      </c>
      <c r="J23" s="20">
        <f>IF(G23="","",H23-I23)</f>
        <v/>
      </c>
      <c r="K23" s="30">
        <f>IF(OR(G23="",H23=0),"",I23/H23)</f>
        <v/>
      </c>
      <c r="L23" s="31">
        <f>IF(K23="","",REPT("█",ROUND(MIN(1,MAX(0,K23))*10,0))&amp;REPT("░",10-ROUND(MIN(1,MAX(0,K23))*10,0)))</f>
        <v/>
      </c>
    </row>
    <row r="24">
      <c r="B24" s="27" t="n"/>
      <c r="C24" s="28" t="n"/>
      <c r="D24" s="15" t="n"/>
      <c r="E24" s="24" t="n"/>
      <c r="G24" s="10">
        <f>IF('Setup'!E22="","",'Setup'!E22)</f>
        <v/>
      </c>
      <c r="H24" s="20">
        <f>IF(G24="","",'Setup'!G22)</f>
        <v/>
      </c>
      <c r="I24" s="20">
        <f>IF(G24="","",SUMIFS($E$7:$E$86,$D$7:$D$86,G24))</f>
        <v/>
      </c>
      <c r="J24" s="20">
        <f>IF(G24="","",H24-I24)</f>
        <v/>
      </c>
      <c r="K24" s="30">
        <f>IF(OR(G24="",H24=0),"",I24/H24)</f>
        <v/>
      </c>
      <c r="L24" s="31">
        <f>IF(K24="","",REPT("█",ROUND(MIN(1,MAX(0,K24))*10,0))&amp;REPT("░",10-ROUND(MIN(1,MAX(0,K24))*10,0)))</f>
        <v/>
      </c>
    </row>
    <row r="25">
      <c r="B25" s="27" t="n"/>
      <c r="C25" s="28" t="n"/>
      <c r="D25" s="15" t="n"/>
      <c r="E25" s="24" t="n"/>
      <c r="G25" s="10">
        <f>IF('Setup'!E23="","",'Setup'!E23)</f>
        <v/>
      </c>
      <c r="H25" s="20">
        <f>IF(G25="","",'Setup'!G23)</f>
        <v/>
      </c>
      <c r="I25" s="20">
        <f>IF(G25="","",SUMIFS($E$7:$E$86,$D$7:$D$86,G25))</f>
        <v/>
      </c>
      <c r="J25" s="20">
        <f>IF(G25="","",H25-I25)</f>
        <v/>
      </c>
      <c r="K25" s="30">
        <f>IF(OR(G25="",H25=0),"",I25/H25)</f>
        <v/>
      </c>
      <c r="L25" s="31">
        <f>IF(K25="","",REPT("█",ROUND(MIN(1,MAX(0,K25))*10,0))&amp;REPT("░",10-ROUND(MIN(1,MAX(0,K25))*10,0)))</f>
        <v/>
      </c>
    </row>
    <row r="26">
      <c r="B26" s="27" t="n"/>
      <c r="C26" s="28" t="n"/>
      <c r="D26" s="15" t="n"/>
      <c r="E26" s="24" t="n"/>
      <c r="G26" s="10">
        <f>IF('Setup'!E24="","",'Setup'!E24)</f>
        <v/>
      </c>
      <c r="H26" s="20">
        <f>IF(G26="","",'Setup'!G24)</f>
        <v/>
      </c>
      <c r="I26" s="20">
        <f>IF(G26="","",SUMIFS($E$7:$E$86,$D$7:$D$86,G26))</f>
        <v/>
      </c>
      <c r="J26" s="20">
        <f>IF(G26="","",H26-I26)</f>
        <v/>
      </c>
      <c r="K26" s="30">
        <f>IF(OR(G26="",H26=0),"",I26/H26)</f>
        <v/>
      </c>
      <c r="L26" s="31">
        <f>IF(K26="","",REPT("█",ROUND(MIN(1,MAX(0,K26))*10,0))&amp;REPT("░",10-ROUND(MIN(1,MAX(0,K26))*10,0)))</f>
        <v/>
      </c>
    </row>
    <row r="27">
      <c r="B27" s="27" t="n"/>
      <c r="C27" s="28" t="n"/>
      <c r="D27" s="15" t="n"/>
      <c r="E27" s="24" t="n"/>
      <c r="G27" s="10">
        <f>IF('Setup'!E25="","",'Setup'!E25)</f>
        <v/>
      </c>
      <c r="H27" s="20">
        <f>IF(G27="","",'Setup'!G25)</f>
        <v/>
      </c>
      <c r="I27" s="20">
        <f>IF(G27="","",SUMIFS($E$7:$E$86,$D$7:$D$86,G27))</f>
        <v/>
      </c>
      <c r="J27" s="20">
        <f>IF(G27="","",H27-I27)</f>
        <v/>
      </c>
      <c r="K27" s="30">
        <f>IF(OR(G27="",H27=0),"",I27/H27)</f>
        <v/>
      </c>
      <c r="L27" s="31">
        <f>IF(K27="","",REPT("█",ROUND(MIN(1,MAX(0,K27))*10,0))&amp;REPT("░",10-ROUND(MIN(1,MAX(0,K27))*10,0)))</f>
        <v/>
      </c>
    </row>
    <row r="28">
      <c r="B28" s="27" t="n"/>
      <c r="C28" s="28" t="n"/>
      <c r="D28" s="15" t="n"/>
      <c r="E28" s="24" t="n"/>
      <c r="G28" s="10">
        <f>IF('Setup'!E26="","",'Setup'!E26)</f>
        <v/>
      </c>
      <c r="H28" s="20">
        <f>IF(G28="","",'Setup'!G26)</f>
        <v/>
      </c>
      <c r="I28" s="20">
        <f>IF(G28="","",SUMIFS($E$7:$E$86,$D$7:$D$86,G28))</f>
        <v/>
      </c>
      <c r="J28" s="20">
        <f>IF(G28="","",H28-I28)</f>
        <v/>
      </c>
      <c r="K28" s="30">
        <f>IF(OR(G28="",H28=0),"",I28/H28)</f>
        <v/>
      </c>
      <c r="L28" s="31">
        <f>IF(K28="","",REPT("█",ROUND(MIN(1,MAX(0,K28))*10,0))&amp;REPT("░",10-ROUND(MIN(1,MAX(0,K28))*10,0)))</f>
        <v/>
      </c>
    </row>
    <row r="29">
      <c r="B29" s="27" t="n"/>
      <c r="C29" s="28" t="n"/>
      <c r="D29" s="15" t="n"/>
      <c r="E29" s="24" t="n"/>
      <c r="G29" s="10">
        <f>IF('Setup'!E27="","",'Setup'!E27)</f>
        <v/>
      </c>
      <c r="H29" s="20">
        <f>IF(G29="","",'Setup'!G27)</f>
        <v/>
      </c>
      <c r="I29" s="20">
        <f>IF(G29="","",SUMIFS($E$7:$E$86,$D$7:$D$86,G29))</f>
        <v/>
      </c>
      <c r="J29" s="20">
        <f>IF(G29="","",H29-I29)</f>
        <v/>
      </c>
      <c r="K29" s="30">
        <f>IF(OR(G29="",H29=0),"",I29/H29)</f>
        <v/>
      </c>
      <c r="L29" s="31">
        <f>IF(K29="","",REPT("█",ROUND(MIN(1,MAX(0,K29))*10,0))&amp;REPT("░",10-ROUND(MIN(1,MAX(0,K29))*10,0)))</f>
        <v/>
      </c>
    </row>
    <row r="30">
      <c r="B30" s="27" t="n"/>
      <c r="C30" s="28" t="n"/>
      <c r="D30" s="15" t="n"/>
      <c r="E30" s="24" t="n"/>
      <c r="G30" s="10">
        <f>IF('Setup'!E28="","",'Setup'!E28)</f>
        <v/>
      </c>
      <c r="H30" s="20">
        <f>IF(G30="","",'Setup'!G28)</f>
        <v/>
      </c>
      <c r="I30" s="20">
        <f>IF(G30="","",SUMIFS($E$7:$E$86,$D$7:$D$86,G30))</f>
        <v/>
      </c>
      <c r="J30" s="20">
        <f>IF(G30="","",H30-I30)</f>
        <v/>
      </c>
      <c r="K30" s="30">
        <f>IF(OR(G30="",H30=0),"",I30/H30)</f>
        <v/>
      </c>
      <c r="L30" s="31">
        <f>IF(K30="","",REPT("█",ROUND(MIN(1,MAX(0,K30))*10,0))&amp;REPT("░",10-ROUND(MIN(1,MAX(0,K30))*10,0)))</f>
        <v/>
      </c>
    </row>
    <row r="31">
      <c r="B31" s="27" t="n"/>
      <c r="C31" s="28" t="n"/>
      <c r="D31" s="15" t="n"/>
      <c r="E31" s="24" t="n"/>
      <c r="G31" s="10">
        <f>IF('Setup'!E29="","",'Setup'!E29)</f>
        <v/>
      </c>
      <c r="H31" s="20">
        <f>IF(G31="","",'Setup'!G29)</f>
        <v/>
      </c>
      <c r="I31" s="20">
        <f>IF(G31="","",SUMIFS($E$7:$E$86,$D$7:$D$86,G31))</f>
        <v/>
      </c>
      <c r="J31" s="20">
        <f>IF(G31="","",H31-I31)</f>
        <v/>
      </c>
      <c r="K31" s="30">
        <f>IF(OR(G31="",H31=0),"",I31/H31)</f>
        <v/>
      </c>
      <c r="L31" s="31">
        <f>IF(K31="","",REPT("█",ROUND(MIN(1,MAX(0,K31))*10,0))&amp;REPT("░",10-ROUND(MIN(1,MAX(0,K31))*10,0)))</f>
        <v/>
      </c>
    </row>
    <row r="32">
      <c r="B32" s="27" t="n"/>
      <c r="C32" s="28" t="n"/>
      <c r="D32" s="15" t="n"/>
      <c r="E32" s="24" t="n"/>
      <c r="G32" s="10">
        <f>IF('Setup'!E30="","",'Setup'!E30)</f>
        <v/>
      </c>
      <c r="H32" s="20">
        <f>IF(G32="","",'Setup'!G30)</f>
        <v/>
      </c>
      <c r="I32" s="20">
        <f>IF(G32="","",SUMIFS($E$7:$E$86,$D$7:$D$86,G32))</f>
        <v/>
      </c>
      <c r="J32" s="20">
        <f>IF(G32="","",H32-I32)</f>
        <v/>
      </c>
      <c r="K32" s="30">
        <f>IF(OR(G32="",H32=0),"",I32/H32)</f>
        <v/>
      </c>
      <c r="L32" s="31">
        <f>IF(K32="","",REPT("█",ROUND(MIN(1,MAX(0,K32))*10,0))&amp;REPT("░",10-ROUND(MIN(1,MAX(0,K32))*10,0)))</f>
        <v/>
      </c>
    </row>
    <row r="33">
      <c r="B33" s="27" t="n"/>
      <c r="C33" s="28" t="n"/>
      <c r="D33" s="15" t="n"/>
      <c r="E33" s="24" t="n"/>
      <c r="G33" s="10">
        <f>IF('Setup'!E31="","",'Setup'!E31)</f>
        <v/>
      </c>
      <c r="H33" s="20">
        <f>IF(G33="","",'Setup'!G31)</f>
        <v/>
      </c>
      <c r="I33" s="20">
        <f>IF(G33="","",SUMIFS($E$7:$E$86,$D$7:$D$86,G33))</f>
        <v/>
      </c>
      <c r="J33" s="20">
        <f>IF(G33="","",H33-I33)</f>
        <v/>
      </c>
      <c r="K33" s="30">
        <f>IF(OR(G33="",H33=0),"",I33/H33)</f>
        <v/>
      </c>
      <c r="L33" s="31">
        <f>IF(K33="","",REPT("█",ROUND(MIN(1,MAX(0,K33))*10,0))&amp;REPT("░",10-ROUND(MIN(1,MAX(0,K33))*10,0)))</f>
        <v/>
      </c>
    </row>
    <row r="34">
      <c r="B34" s="27" t="n"/>
      <c r="C34" s="28" t="n"/>
      <c r="D34" s="15" t="n"/>
      <c r="E34" s="24" t="n"/>
      <c r="G34" s="10">
        <f>IF('Setup'!E32="","",'Setup'!E32)</f>
        <v/>
      </c>
      <c r="H34" s="20">
        <f>IF(G34="","",'Setup'!G32)</f>
        <v/>
      </c>
      <c r="I34" s="20">
        <f>IF(G34="","",SUMIFS($E$7:$E$86,$D$7:$D$86,G34))</f>
        <v/>
      </c>
      <c r="J34" s="20">
        <f>IF(G34="","",H34-I34)</f>
        <v/>
      </c>
      <c r="K34" s="30">
        <f>IF(OR(G34="",H34=0),"",I34/H34)</f>
        <v/>
      </c>
      <c r="L34" s="31">
        <f>IF(K34="","",REPT("█",ROUND(MIN(1,MAX(0,K34))*10,0))&amp;REPT("░",10-ROUND(MIN(1,MAX(0,K34))*10,0)))</f>
        <v/>
      </c>
    </row>
    <row r="35">
      <c r="B35" s="27" t="n"/>
      <c r="C35" s="28" t="n"/>
      <c r="D35" s="15" t="n"/>
      <c r="E35" s="24" t="n"/>
      <c r="G35" s="10">
        <f>IF('Setup'!E33="","",'Setup'!E33)</f>
        <v/>
      </c>
      <c r="H35" s="20">
        <f>IF(G35="","",'Setup'!G33)</f>
        <v/>
      </c>
      <c r="I35" s="20">
        <f>IF(G35="","",SUMIFS($E$7:$E$86,$D$7:$D$86,G35))</f>
        <v/>
      </c>
      <c r="J35" s="20">
        <f>IF(G35="","",H35-I35)</f>
        <v/>
      </c>
      <c r="K35" s="30">
        <f>IF(OR(G35="",H35=0),"",I35/H35)</f>
        <v/>
      </c>
      <c r="L35" s="31">
        <f>IF(K35="","",REPT("█",ROUND(MIN(1,MAX(0,K35))*10,0))&amp;REPT("░",10-ROUND(MIN(1,MAX(0,K35))*10,0)))</f>
        <v/>
      </c>
    </row>
    <row r="36">
      <c r="B36" s="27" t="n"/>
      <c r="C36" s="28" t="n"/>
      <c r="D36" s="15" t="n"/>
      <c r="E36" s="24" t="n"/>
      <c r="G36" s="10">
        <f>IF('Setup'!E34="","",'Setup'!E34)</f>
        <v/>
      </c>
      <c r="H36" s="20">
        <f>IF(G36="","",'Setup'!G34)</f>
        <v/>
      </c>
      <c r="I36" s="20">
        <f>IF(G36="","",SUMIFS($E$7:$E$86,$D$7:$D$86,G36))</f>
        <v/>
      </c>
      <c r="J36" s="20">
        <f>IF(G36="","",H36-I36)</f>
        <v/>
      </c>
      <c r="K36" s="30">
        <f>IF(OR(G36="",H36=0),"",I36/H36)</f>
        <v/>
      </c>
      <c r="L36" s="31">
        <f>IF(K36="","",REPT("█",ROUND(MIN(1,MAX(0,K36))*10,0))&amp;REPT("░",10-ROUND(MIN(1,MAX(0,K36))*10,0)))</f>
        <v/>
      </c>
    </row>
    <row r="37">
      <c r="B37" s="27" t="n"/>
      <c r="C37" s="28" t="n"/>
      <c r="D37" s="15" t="n"/>
      <c r="E37" s="24" t="n"/>
      <c r="G37" s="10">
        <f>IF('Setup'!E35="","",'Setup'!E35)</f>
        <v/>
      </c>
      <c r="H37" s="20">
        <f>IF(G37="","",'Setup'!G35)</f>
        <v/>
      </c>
      <c r="I37" s="20">
        <f>IF(G37="","",SUMIFS($E$7:$E$86,$D$7:$D$86,G37))</f>
        <v/>
      </c>
      <c r="J37" s="20">
        <f>IF(G37="","",H37-I37)</f>
        <v/>
      </c>
      <c r="K37" s="30">
        <f>IF(OR(G37="",H37=0),"",I37/H37)</f>
        <v/>
      </c>
      <c r="L37" s="31">
        <f>IF(K37="","",REPT("█",ROUND(MIN(1,MAX(0,K37))*10,0))&amp;REPT("░",10-ROUND(MIN(1,MAX(0,K37))*10,0)))</f>
        <v/>
      </c>
    </row>
    <row r="38">
      <c r="B38" s="27" t="n"/>
      <c r="C38" s="28" t="n"/>
      <c r="D38" s="15" t="n"/>
      <c r="E38" s="24" t="n"/>
      <c r="G38" s="10">
        <f>IF('Setup'!E36="","",'Setup'!E36)</f>
        <v/>
      </c>
      <c r="H38" s="20">
        <f>IF(G38="","",'Setup'!G36)</f>
        <v/>
      </c>
      <c r="I38" s="20">
        <f>IF(G38="","",SUMIFS($E$7:$E$86,$D$7:$D$86,G38))</f>
        <v/>
      </c>
      <c r="J38" s="20">
        <f>IF(G38="","",H38-I38)</f>
        <v/>
      </c>
      <c r="K38" s="30">
        <f>IF(OR(G38="",H38=0),"",I38/H38)</f>
        <v/>
      </c>
      <c r="L38" s="31">
        <f>IF(K38="","",REPT("█",ROUND(MIN(1,MAX(0,K38))*10,0))&amp;REPT("░",10-ROUND(MIN(1,MAX(0,K38))*10,0)))</f>
        <v/>
      </c>
    </row>
    <row r="39">
      <c r="B39" s="27" t="n"/>
      <c r="C39" s="28" t="n"/>
      <c r="D39" s="15" t="n"/>
      <c r="E39" s="24" t="n"/>
      <c r="G39" s="10">
        <f>IF('Setup'!E37="","",'Setup'!E37)</f>
        <v/>
      </c>
      <c r="H39" s="20">
        <f>IF(G39="","",'Setup'!G37)</f>
        <v/>
      </c>
      <c r="I39" s="20">
        <f>IF(G39="","",SUMIFS($E$7:$E$86,$D$7:$D$86,G39))</f>
        <v/>
      </c>
      <c r="J39" s="20">
        <f>IF(G39="","",H39-I39)</f>
        <v/>
      </c>
      <c r="K39" s="30">
        <f>IF(OR(G39="",H39=0),"",I39/H39)</f>
        <v/>
      </c>
      <c r="L39" s="31">
        <f>IF(K39="","",REPT("█",ROUND(MIN(1,MAX(0,K39))*10,0))&amp;REPT("░",10-ROUND(MIN(1,MAX(0,K39))*10,0)))</f>
        <v/>
      </c>
    </row>
    <row r="40">
      <c r="B40" s="27" t="n"/>
      <c r="C40" s="28" t="n"/>
      <c r="D40" s="15" t="n"/>
      <c r="E40" s="24" t="n"/>
      <c r="G40" s="10">
        <f>IF('Setup'!E38="","",'Setup'!E38)</f>
        <v/>
      </c>
      <c r="H40" s="20">
        <f>IF(G40="","",'Setup'!G38)</f>
        <v/>
      </c>
      <c r="I40" s="20">
        <f>IF(G40="","",SUMIFS($E$7:$E$86,$D$7:$D$86,G40))</f>
        <v/>
      </c>
      <c r="J40" s="20">
        <f>IF(G40="","",H40-I40)</f>
        <v/>
      </c>
      <c r="K40" s="30">
        <f>IF(OR(G40="",H40=0),"",I40/H40)</f>
        <v/>
      </c>
      <c r="L40" s="31">
        <f>IF(K40="","",REPT("█",ROUND(MIN(1,MAX(0,K40))*10,0))&amp;REPT("░",10-ROUND(MIN(1,MAX(0,K40))*10,0)))</f>
        <v/>
      </c>
    </row>
    <row r="41">
      <c r="B41" s="27" t="n"/>
      <c r="C41" s="28" t="n"/>
      <c r="D41" s="15" t="n"/>
      <c r="E41" s="24" t="n"/>
      <c r="G41" s="10">
        <f>IF('Setup'!E39="","",'Setup'!E39)</f>
        <v/>
      </c>
      <c r="H41" s="20">
        <f>IF(G41="","",'Setup'!G39)</f>
        <v/>
      </c>
      <c r="I41" s="20">
        <f>IF(G41="","",SUMIFS($E$7:$E$86,$D$7:$D$86,G41))</f>
        <v/>
      </c>
      <c r="J41" s="20">
        <f>IF(G41="","",H41-I41)</f>
        <v/>
      </c>
      <c r="K41" s="30">
        <f>IF(OR(G41="",H41=0),"",I41/H41)</f>
        <v/>
      </c>
      <c r="L41" s="31">
        <f>IF(K41="","",REPT("█",ROUND(MIN(1,MAX(0,K41))*10,0))&amp;REPT("░",10-ROUND(MIN(1,MAX(0,K41))*10,0)))</f>
        <v/>
      </c>
    </row>
    <row r="42">
      <c r="B42" s="27" t="n"/>
      <c r="C42" s="28" t="n"/>
      <c r="D42" s="15" t="n"/>
      <c r="E42" s="24" t="n"/>
    </row>
    <row r="43">
      <c r="B43" s="27" t="n"/>
      <c r="C43" s="28" t="n"/>
      <c r="D43" s="15" t="n"/>
      <c r="E43" s="24" t="n"/>
    </row>
    <row r="44">
      <c r="B44" s="27" t="n"/>
      <c r="C44" s="28" t="n"/>
      <c r="D44" s="15" t="n"/>
      <c r="E44" s="24" t="n"/>
    </row>
    <row r="45">
      <c r="B45" s="27" t="n"/>
      <c r="C45" s="28" t="n"/>
      <c r="D45" s="15" t="n"/>
      <c r="E45" s="24" t="n"/>
    </row>
    <row r="46">
      <c r="B46" s="27" t="n"/>
      <c r="C46" s="28" t="n"/>
      <c r="D46" s="15" t="n"/>
      <c r="E46" s="24" t="n"/>
    </row>
    <row r="47">
      <c r="B47" s="27" t="n"/>
      <c r="C47" s="28" t="n"/>
      <c r="D47" s="15" t="n"/>
      <c r="E47" s="24" t="n"/>
    </row>
    <row r="48">
      <c r="B48" s="27" t="n"/>
      <c r="C48" s="28" t="n"/>
      <c r="D48" s="15" t="n"/>
      <c r="E48" s="24" t="n"/>
    </row>
    <row r="49">
      <c r="B49" s="27" t="n"/>
      <c r="C49" s="28" t="n"/>
      <c r="D49" s="15" t="n"/>
      <c r="E49" s="24" t="n"/>
    </row>
    <row r="50">
      <c r="B50" s="27" t="n"/>
      <c r="C50" s="28" t="n"/>
      <c r="D50" s="15" t="n"/>
      <c r="E50" s="24" t="n"/>
    </row>
    <row r="51">
      <c r="B51" s="27" t="n"/>
      <c r="C51" s="28" t="n"/>
      <c r="D51" s="15" t="n"/>
      <c r="E51" s="24" t="n"/>
    </row>
    <row r="52">
      <c r="B52" s="27" t="n"/>
      <c r="C52" s="28" t="n"/>
      <c r="D52" s="15" t="n"/>
      <c r="E52" s="24" t="n"/>
    </row>
    <row r="53">
      <c r="B53" s="27" t="n"/>
      <c r="C53" s="28" t="n"/>
      <c r="D53" s="15" t="n"/>
      <c r="E53" s="24" t="n"/>
    </row>
    <row r="54">
      <c r="B54" s="27" t="n"/>
      <c r="C54" s="28" t="n"/>
      <c r="D54" s="15" t="n"/>
      <c r="E54" s="24" t="n"/>
    </row>
    <row r="55">
      <c r="B55" s="27" t="n"/>
      <c r="C55" s="28" t="n"/>
      <c r="D55" s="15" t="n"/>
      <c r="E55" s="24" t="n"/>
    </row>
    <row r="56">
      <c r="B56" s="27" t="n"/>
      <c r="C56" s="28" t="n"/>
      <c r="D56" s="15" t="n"/>
      <c r="E56" s="24" t="n"/>
    </row>
    <row r="57">
      <c r="B57" s="27" t="n"/>
      <c r="C57" s="28" t="n"/>
      <c r="D57" s="15" t="n"/>
      <c r="E57" s="24" t="n"/>
    </row>
    <row r="58">
      <c r="B58" s="27" t="n"/>
      <c r="C58" s="28" t="n"/>
      <c r="D58" s="15" t="n"/>
      <c r="E58" s="24" t="n"/>
    </row>
    <row r="59">
      <c r="B59" s="27" t="n"/>
      <c r="C59" s="28" t="n"/>
      <c r="D59" s="15" t="n"/>
      <c r="E59" s="24" t="n"/>
    </row>
    <row r="60">
      <c r="B60" s="27" t="n"/>
      <c r="C60" s="28" t="n"/>
      <c r="D60" s="15" t="n"/>
      <c r="E60" s="24" t="n"/>
    </row>
    <row r="61">
      <c r="B61" s="27" t="n"/>
      <c r="C61" s="28" t="n"/>
      <c r="D61" s="15" t="n"/>
      <c r="E61" s="24" t="n"/>
    </row>
    <row r="62">
      <c r="B62" s="27" t="n"/>
      <c r="C62" s="28" t="n"/>
      <c r="D62" s="15" t="n"/>
      <c r="E62" s="24" t="n"/>
    </row>
    <row r="63">
      <c r="B63" s="27" t="n"/>
      <c r="C63" s="28" t="n"/>
      <c r="D63" s="15" t="n"/>
      <c r="E63" s="24" t="n"/>
    </row>
    <row r="64">
      <c r="B64" s="27" t="n"/>
      <c r="C64" s="28" t="n"/>
      <c r="D64" s="15" t="n"/>
      <c r="E64" s="24" t="n"/>
    </row>
    <row r="65">
      <c r="B65" s="27" t="n"/>
      <c r="C65" s="28" t="n"/>
      <c r="D65" s="15" t="n"/>
      <c r="E65" s="24" t="n"/>
    </row>
    <row r="66">
      <c r="B66" s="27" t="n"/>
      <c r="C66" s="28" t="n"/>
      <c r="D66" s="15" t="n"/>
      <c r="E66" s="24" t="n"/>
    </row>
    <row r="67">
      <c r="B67" s="27" t="n"/>
      <c r="C67" s="28" t="n"/>
      <c r="D67" s="15" t="n"/>
      <c r="E67" s="24" t="n"/>
    </row>
    <row r="68">
      <c r="B68" s="27" t="n"/>
      <c r="C68" s="28" t="n"/>
      <c r="D68" s="15" t="n"/>
      <c r="E68" s="24" t="n"/>
    </row>
    <row r="69">
      <c r="B69" s="27" t="n"/>
      <c r="C69" s="28" t="n"/>
      <c r="D69" s="15" t="n"/>
      <c r="E69" s="24" t="n"/>
    </row>
    <row r="70">
      <c r="B70" s="27" t="n"/>
      <c r="C70" s="28" t="n"/>
      <c r="D70" s="15" t="n"/>
      <c r="E70" s="24" t="n"/>
    </row>
    <row r="71">
      <c r="B71" s="27" t="n"/>
      <c r="C71" s="28" t="n"/>
      <c r="D71" s="15" t="n"/>
      <c r="E71" s="24" t="n"/>
    </row>
    <row r="72">
      <c r="B72" s="27" t="n"/>
      <c r="C72" s="28" t="n"/>
      <c r="D72" s="15" t="n"/>
      <c r="E72" s="24" t="n"/>
    </row>
    <row r="73">
      <c r="B73" s="27" t="n"/>
      <c r="C73" s="28" t="n"/>
      <c r="D73" s="15" t="n"/>
      <c r="E73" s="24" t="n"/>
    </row>
    <row r="74">
      <c r="B74" s="27" t="n"/>
      <c r="C74" s="28" t="n"/>
      <c r="D74" s="15" t="n"/>
      <c r="E74" s="24" t="n"/>
    </row>
    <row r="75">
      <c r="B75" s="27" t="n"/>
      <c r="C75" s="28" t="n"/>
      <c r="D75" s="15" t="n"/>
      <c r="E75" s="24" t="n"/>
    </row>
    <row r="76">
      <c r="B76" s="27" t="n"/>
      <c r="C76" s="28" t="n"/>
      <c r="D76" s="15" t="n"/>
      <c r="E76" s="24" t="n"/>
    </row>
    <row r="77">
      <c r="B77" s="27" t="n"/>
      <c r="C77" s="28" t="n"/>
      <c r="D77" s="15" t="n"/>
      <c r="E77" s="24" t="n"/>
    </row>
    <row r="78">
      <c r="B78" s="27" t="n"/>
      <c r="C78" s="28" t="n"/>
      <c r="D78" s="15" t="n"/>
      <c r="E78" s="24" t="n"/>
    </row>
    <row r="79">
      <c r="B79" s="27" t="n"/>
      <c r="C79" s="28" t="n"/>
      <c r="D79" s="15" t="n"/>
      <c r="E79" s="24" t="n"/>
    </row>
    <row r="80">
      <c r="B80" s="27" t="n"/>
      <c r="C80" s="28" t="n"/>
      <c r="D80" s="15" t="n"/>
      <c r="E80" s="24" t="n"/>
    </row>
    <row r="81">
      <c r="B81" s="27" t="n"/>
      <c r="C81" s="28" t="n"/>
      <c r="D81" s="15" t="n"/>
      <c r="E81" s="24" t="n"/>
    </row>
    <row r="82">
      <c r="B82" s="27" t="n"/>
      <c r="C82" s="28" t="n"/>
      <c r="D82" s="15" t="n"/>
      <c r="E82" s="24" t="n"/>
    </row>
    <row r="83">
      <c r="B83" s="27" t="n"/>
      <c r="C83" s="28" t="n"/>
      <c r="D83" s="15" t="n"/>
      <c r="E83" s="24" t="n"/>
    </row>
    <row r="84">
      <c r="B84" s="27" t="n"/>
      <c r="C84" s="28" t="n"/>
      <c r="D84" s="15" t="n"/>
      <c r="E84" s="24" t="n"/>
    </row>
    <row r="85">
      <c r="B85" s="27" t="n"/>
      <c r="C85" s="28" t="n"/>
      <c r="D85" s="15" t="n"/>
      <c r="E85" s="24" t="n"/>
    </row>
    <row r="86">
      <c r="B86" s="27" t="n"/>
      <c r="C86" s="28" t="n"/>
      <c r="D86" s="15" t="n"/>
      <c r="E86" s="24" t="n"/>
    </row>
  </sheetData>
  <sheetProtection selectLockedCells="0" selectUnlockedCells="0" sheet="1" objects="0" insertRows="0" insertHyperlinks="1" autoFilter="0" scenarios="0" formatColumns="0" deleteColumns="1" insertColumns="1" pivotTables="1" deleteRows="1" formatCells="1" formatRows="0" sort="0"/>
  <conditionalFormatting sqref="H8">
    <cfRule type="cellIs" priority="1" operator="lessThan" dxfId="1">
      <formula>0</formula>
    </cfRule>
  </conditionalFormatting>
  <conditionalFormatting sqref="J12:J41">
    <cfRule type="cellIs" priority="2" operator="lessThan" dxfId="1">
      <formula>0</formula>
    </cfRule>
  </conditionalFormatting>
  <conditionalFormatting sqref="L12:L41">
    <cfRule type="expression" priority="3" dxfId="2">
      <formula>K12&gt;1</formula>
    </cfRule>
  </conditionalFormatting>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showDropDown="0" showInputMessage="0" showErrorMessage="0" allowBlank="1" type="list">
      <formula1>=Categories</formula1>
    </dataValidation>
  </dataValidations>
  <hyperlinks>
    <hyperlink ref="B4" location="'Start here'!A1" display="Start here"/>
    <hyperlink ref="D4" location="'Dashboard'!A1" display="Dashboard"/>
    <hyperlink ref="E4" location="'Setup'!A1" display="Setup"/>
    <hyperlink ref="F4" location="'January'!A1" display="Months"/>
    <hyperlink ref="G4" location="'Bills'!A1" display="Bills"/>
    <hyperlink ref="H4" location="'Paycheck plan'!A1" display="Paycheck"/>
    <hyperlink ref="I4" location="'Debt payoff'!A1" display="Debt"/>
    <hyperlink ref="J4" location="'Savings goals'!A1" display="Savings"/>
  </hyperlinks>
  <printOptions gridLines="0"/>
  <pageMargins left="0.75" right="0.75" top="1" bottom="1" header="0.5" footer="0.5"/>
  <pageSetup orientation="landscape" fitToHeight="1" fitToWidth="1"/>
</worksheet>
</file>

<file path=xl/worksheets/sheet16.xml><?xml version="1.0" encoding="utf-8"?>
<worksheet xmlns="http://schemas.openxmlformats.org/spreadsheetml/2006/main">
  <sheetPr>
    <tabColor rgb="005E6B78"/>
    <outlinePr summaryBelow="1" summaryRight="1"/>
    <pageSetUpPr fitToPage="1"/>
  </sheetPr>
  <dimension ref="B2:Q32"/>
  <sheetViews>
    <sheetView showGridLines="0" workbookViewId="0">
      <pane ySplit="6" topLeftCell="A7" activePane="bottomLeft" state="frozen"/>
      <selection pane="bottomLeft" activeCell="A1" sqref="A1"/>
    </sheetView>
  </sheetViews>
  <sheetFormatPr baseColWidth="8" defaultRowHeight="15"/>
  <cols>
    <col width="3" customWidth="1" min="1" max="1"/>
    <col width="24" customWidth="1" min="2" max="2"/>
    <col width="9" customWidth="1" min="3" max="3"/>
    <col width="12" customWidth="1" min="4" max="4"/>
    <col width="9"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Bills</t>
        </is>
      </c>
    </row>
    <row r="3">
      <c r="B3" s="2" t="inlineStr">
        <is>
          <t>Mark each bill paid with a ✓ from the dropdown.</t>
        </is>
      </c>
    </row>
    <row r="4">
      <c r="B4" s="3" t="inlineStr">
        <is>
          <t>Start here</t>
        </is>
      </c>
      <c r="C4" s="3" t="inlineStr">
        <is>
          <t>Dashboard</t>
        </is>
      </c>
      <c r="E4" s="3" t="inlineStr">
        <is>
          <t>Setup</t>
        </is>
      </c>
      <c r="F4" s="3" t="inlineStr">
        <is>
          <t>Months</t>
        </is>
      </c>
      <c r="H4" s="3" t="inlineStr">
        <is>
          <t>Bills</t>
        </is>
      </c>
      <c r="J4" s="3" t="inlineStr">
        <is>
          <t>Paycheck</t>
        </is>
      </c>
      <c r="L4" s="3" t="inlineStr">
        <is>
          <t>Debt</t>
        </is>
      </c>
      <c r="N4" s="3" t="inlineStr">
        <is>
          <t>Savings</t>
        </is>
      </c>
    </row>
    <row r="6" ht="22" customHeight="1">
      <c r="B6" s="9" t="inlineStr">
        <is>
          <t>Bill</t>
        </is>
      </c>
      <c r="C6" s="9" t="inlineStr">
        <is>
          <t>Due day</t>
        </is>
      </c>
      <c r="D6" s="9" t="inlineStr">
        <is>
          <t>Amount</t>
        </is>
      </c>
      <c r="E6" s="9" t="inlineStr">
        <is>
          <t>Autopay</t>
        </is>
      </c>
      <c r="F6" s="9" t="inlineStr">
        <is>
          <t>Jan</t>
        </is>
      </c>
      <c r="G6" s="9" t="inlineStr">
        <is>
          <t>Feb</t>
        </is>
      </c>
      <c r="H6" s="9" t="inlineStr">
        <is>
          <t>Mar</t>
        </is>
      </c>
      <c r="I6" s="9" t="inlineStr">
        <is>
          <t>Apr</t>
        </is>
      </c>
      <c r="J6" s="9" t="inlineStr">
        <is>
          <t>May</t>
        </is>
      </c>
      <c r="K6" s="9" t="inlineStr">
        <is>
          <t>Jun</t>
        </is>
      </c>
      <c r="L6" s="9" t="inlineStr">
        <is>
          <t>Jul</t>
        </is>
      </c>
      <c r="M6" s="9" t="inlineStr">
        <is>
          <t>Aug</t>
        </is>
      </c>
      <c r="N6" s="9" t="inlineStr">
        <is>
          <t>Sep</t>
        </is>
      </c>
      <c r="O6" s="9" t="inlineStr">
        <is>
          <t>Oct</t>
        </is>
      </c>
      <c r="P6" s="9" t="inlineStr">
        <is>
          <t>Nov</t>
        </is>
      </c>
      <c r="Q6" s="9" t="inlineStr">
        <is>
          <t>Dec</t>
        </is>
      </c>
    </row>
    <row r="7">
      <c r="B7" s="15" t="inlineStr">
        <is>
          <t>Rent</t>
        </is>
      </c>
      <c r="C7" s="23" t="n">
        <v>1</v>
      </c>
      <c r="D7" s="24" t="n">
        <v>1400</v>
      </c>
      <c r="E7" s="15" t="inlineStr">
        <is>
          <t>Yes</t>
        </is>
      </c>
      <c r="F7" s="32" t="n"/>
      <c r="G7" s="32" t="n"/>
      <c r="H7" s="32" t="n"/>
      <c r="I7" s="32" t="n"/>
      <c r="J7" s="32" t="n"/>
      <c r="K7" s="32" t="n"/>
      <c r="L7" s="32" t="n"/>
      <c r="M7" s="32" t="n"/>
      <c r="N7" s="32" t="n"/>
      <c r="O7" s="32" t="n"/>
      <c r="P7" s="32" t="n"/>
      <c r="Q7" s="32" t="n"/>
    </row>
    <row r="8">
      <c r="B8" s="15" t="inlineStr">
        <is>
          <t>Phone and internet</t>
        </is>
      </c>
      <c r="C8" s="23" t="n">
        <v>14</v>
      </c>
      <c r="D8" s="24" t="n">
        <v>95</v>
      </c>
      <c r="E8" s="15" t="inlineStr">
        <is>
          <t>Yes</t>
        </is>
      </c>
      <c r="F8" s="32" t="n"/>
      <c r="G8" s="32" t="n"/>
      <c r="H8" s="32" t="n"/>
      <c r="I8" s="32" t="n"/>
      <c r="J8" s="32" t="n"/>
      <c r="K8" s="32" t="n"/>
      <c r="L8" s="32" t="n"/>
      <c r="M8" s="32" t="n"/>
      <c r="N8" s="32" t="n"/>
      <c r="O8" s="32" t="n"/>
      <c r="P8" s="32" t="n"/>
      <c r="Q8" s="32" t="n"/>
    </row>
    <row r="9">
      <c r="B9" s="15" t="inlineStr">
        <is>
          <t>Streaming</t>
        </is>
      </c>
      <c r="C9" s="23" t="n">
        <v>18</v>
      </c>
      <c r="D9" s="24" t="n">
        <v>15.99</v>
      </c>
      <c r="E9" s="15" t="inlineStr">
        <is>
          <t>Yes</t>
        </is>
      </c>
      <c r="F9" s="32" t="n"/>
      <c r="G9" s="32" t="n"/>
      <c r="H9" s="32" t="n"/>
      <c r="I9" s="32" t="n"/>
      <c r="J9" s="32" t="n"/>
      <c r="K9" s="32" t="n"/>
      <c r="L9" s="32" t="n"/>
      <c r="M9" s="32" t="n"/>
      <c r="N9" s="32" t="n"/>
      <c r="O9" s="32" t="n"/>
      <c r="P9" s="32" t="n"/>
      <c r="Q9" s="32" t="n"/>
    </row>
    <row r="10">
      <c r="B10" s="15" t="inlineStr">
        <is>
          <t>Car insurance</t>
        </is>
      </c>
      <c r="C10" s="23" t="n">
        <v>20</v>
      </c>
      <c r="D10" s="24" t="n">
        <v>160</v>
      </c>
      <c r="E10" s="15" t="inlineStr">
        <is>
          <t>No</t>
        </is>
      </c>
      <c r="F10" s="32" t="n"/>
      <c r="G10" s="32" t="n"/>
      <c r="H10" s="32" t="n"/>
      <c r="I10" s="32" t="n"/>
      <c r="J10" s="32" t="n"/>
      <c r="K10" s="32" t="n"/>
      <c r="L10" s="32" t="n"/>
      <c r="M10" s="32" t="n"/>
      <c r="N10" s="32" t="n"/>
      <c r="O10" s="32" t="n"/>
      <c r="P10" s="32" t="n"/>
      <c r="Q10" s="32" t="n"/>
    </row>
    <row r="11">
      <c r="B11" s="15" t="inlineStr">
        <is>
          <t>Electric</t>
        </is>
      </c>
      <c r="C11" s="23" t="n">
        <v>22</v>
      </c>
      <c r="D11" s="24" t="n">
        <v>90</v>
      </c>
      <c r="E11" s="15" t="inlineStr">
        <is>
          <t>No</t>
        </is>
      </c>
      <c r="F11" s="32" t="n"/>
      <c r="G11" s="32" t="n"/>
      <c r="H11" s="32" t="n"/>
      <c r="I11" s="32" t="n"/>
      <c r="J11" s="32" t="n"/>
      <c r="K11" s="32" t="n"/>
      <c r="L11" s="32" t="n"/>
      <c r="M11" s="32" t="n"/>
      <c r="N11" s="32" t="n"/>
      <c r="O11" s="32" t="n"/>
      <c r="P11" s="32" t="n"/>
      <c r="Q11" s="32" t="n"/>
    </row>
    <row r="12">
      <c r="B12" s="15" t="inlineStr">
        <is>
          <t>Credit card</t>
        </is>
      </c>
      <c r="C12" s="23" t="n">
        <v>25</v>
      </c>
      <c r="D12" s="24" t="n">
        <v>150</v>
      </c>
      <c r="E12" s="15" t="inlineStr">
        <is>
          <t>No</t>
        </is>
      </c>
      <c r="F12" s="32" t="n"/>
      <c r="G12" s="32" t="n"/>
      <c r="H12" s="32" t="n"/>
      <c r="I12" s="32" t="n"/>
      <c r="J12" s="32" t="n"/>
      <c r="K12" s="32" t="n"/>
      <c r="L12" s="32" t="n"/>
      <c r="M12" s="32" t="n"/>
      <c r="N12" s="32" t="n"/>
      <c r="O12" s="32" t="n"/>
      <c r="P12" s="32" t="n"/>
      <c r="Q12" s="32" t="n"/>
    </row>
    <row r="13">
      <c r="B13" s="15" t="n"/>
      <c r="C13" s="23" t="n"/>
      <c r="D13" s="24" t="n"/>
      <c r="E13" s="15" t="n"/>
      <c r="F13" s="32" t="n"/>
      <c r="G13" s="32" t="n"/>
      <c r="H13" s="32" t="n"/>
      <c r="I13" s="32" t="n"/>
      <c r="J13" s="32" t="n"/>
      <c r="K13" s="32" t="n"/>
      <c r="L13" s="32" t="n"/>
      <c r="M13" s="32" t="n"/>
      <c r="N13" s="32" t="n"/>
      <c r="O13" s="32" t="n"/>
      <c r="P13" s="32" t="n"/>
      <c r="Q13" s="32" t="n"/>
    </row>
    <row r="14">
      <c r="B14" s="15" t="n"/>
      <c r="C14" s="23" t="n"/>
      <c r="D14" s="24" t="n"/>
      <c r="E14" s="15" t="n"/>
      <c r="F14" s="32" t="n"/>
      <c r="G14" s="32" t="n"/>
      <c r="H14" s="32" t="n"/>
      <c r="I14" s="32" t="n"/>
      <c r="J14" s="32" t="n"/>
      <c r="K14" s="32" t="n"/>
      <c r="L14" s="32" t="n"/>
      <c r="M14" s="32" t="n"/>
      <c r="N14" s="32" t="n"/>
      <c r="O14" s="32" t="n"/>
      <c r="P14" s="32" t="n"/>
      <c r="Q14" s="32" t="n"/>
    </row>
    <row r="15">
      <c r="B15" s="15" t="n"/>
      <c r="C15" s="23" t="n"/>
      <c r="D15" s="24" t="n"/>
      <c r="E15" s="15" t="n"/>
      <c r="F15" s="32" t="n"/>
      <c r="G15" s="32" t="n"/>
      <c r="H15" s="32" t="n"/>
      <c r="I15" s="32" t="n"/>
      <c r="J15" s="32" t="n"/>
      <c r="K15" s="32" t="n"/>
      <c r="L15" s="32" t="n"/>
      <c r="M15" s="32" t="n"/>
      <c r="N15" s="32" t="n"/>
      <c r="O15" s="32" t="n"/>
      <c r="P15" s="32" t="n"/>
      <c r="Q15" s="32" t="n"/>
    </row>
    <row r="16">
      <c r="B16" s="15" t="n"/>
      <c r="C16" s="23" t="n"/>
      <c r="D16" s="24" t="n"/>
      <c r="E16" s="15" t="n"/>
      <c r="F16" s="32" t="n"/>
      <c r="G16" s="32" t="n"/>
      <c r="H16" s="32" t="n"/>
      <c r="I16" s="32" t="n"/>
      <c r="J16" s="32" t="n"/>
      <c r="K16" s="32" t="n"/>
      <c r="L16" s="32" t="n"/>
      <c r="M16" s="32" t="n"/>
      <c r="N16" s="32" t="n"/>
      <c r="O16" s="32" t="n"/>
      <c r="P16" s="32" t="n"/>
      <c r="Q16" s="32" t="n"/>
    </row>
    <row r="17">
      <c r="B17" s="15" t="n"/>
      <c r="C17" s="23" t="n"/>
      <c r="D17" s="24" t="n"/>
      <c r="E17" s="15" t="n"/>
      <c r="F17" s="32" t="n"/>
      <c r="G17" s="32" t="n"/>
      <c r="H17" s="32" t="n"/>
      <c r="I17" s="32" t="n"/>
      <c r="J17" s="32" t="n"/>
      <c r="K17" s="32" t="n"/>
      <c r="L17" s="32" t="n"/>
      <c r="M17" s="32" t="n"/>
      <c r="N17" s="32" t="n"/>
      <c r="O17" s="32" t="n"/>
      <c r="P17" s="32" t="n"/>
      <c r="Q17" s="32" t="n"/>
    </row>
    <row r="18">
      <c r="B18" s="15" t="n"/>
      <c r="C18" s="23" t="n"/>
      <c r="D18" s="24" t="n"/>
      <c r="E18" s="15" t="n"/>
      <c r="F18" s="32" t="n"/>
      <c r="G18" s="32" t="n"/>
      <c r="H18" s="32" t="n"/>
      <c r="I18" s="32" t="n"/>
      <c r="J18" s="32" t="n"/>
      <c r="K18" s="32" t="n"/>
      <c r="L18" s="32" t="n"/>
      <c r="M18" s="32" t="n"/>
      <c r="N18" s="32" t="n"/>
      <c r="O18" s="32" t="n"/>
      <c r="P18" s="32" t="n"/>
      <c r="Q18" s="32" t="n"/>
    </row>
    <row r="19">
      <c r="B19" s="15" t="n"/>
      <c r="C19" s="23" t="n"/>
      <c r="D19" s="24" t="n"/>
      <c r="E19" s="15" t="n"/>
      <c r="F19" s="32" t="n"/>
      <c r="G19" s="32" t="n"/>
      <c r="H19" s="32" t="n"/>
      <c r="I19" s="32" t="n"/>
      <c r="J19" s="32" t="n"/>
      <c r="K19" s="32" t="n"/>
      <c r="L19" s="32" t="n"/>
      <c r="M19" s="32" t="n"/>
      <c r="N19" s="32" t="n"/>
      <c r="O19" s="32" t="n"/>
      <c r="P19" s="32" t="n"/>
      <c r="Q19" s="32" t="n"/>
    </row>
    <row r="20">
      <c r="B20" s="15" t="n"/>
      <c r="C20" s="23" t="n"/>
      <c r="D20" s="24" t="n"/>
      <c r="E20" s="15" t="n"/>
      <c r="F20" s="32" t="n"/>
      <c r="G20" s="32" t="n"/>
      <c r="H20" s="32" t="n"/>
      <c r="I20" s="32" t="n"/>
      <c r="J20" s="32" t="n"/>
      <c r="K20" s="32" t="n"/>
      <c r="L20" s="32" t="n"/>
      <c r="M20" s="32" t="n"/>
      <c r="N20" s="32" t="n"/>
      <c r="O20" s="32" t="n"/>
      <c r="P20" s="32" t="n"/>
      <c r="Q20" s="32" t="n"/>
    </row>
    <row r="21">
      <c r="B21" s="15" t="n"/>
      <c r="C21" s="23" t="n"/>
      <c r="D21" s="24" t="n"/>
      <c r="E21" s="15" t="n"/>
      <c r="F21" s="32" t="n"/>
      <c r="G21" s="32" t="n"/>
      <c r="H21" s="32" t="n"/>
      <c r="I21" s="32" t="n"/>
      <c r="J21" s="32" t="n"/>
      <c r="K21" s="32" t="n"/>
      <c r="L21" s="32" t="n"/>
      <c r="M21" s="32" t="n"/>
      <c r="N21" s="32" t="n"/>
      <c r="O21" s="32" t="n"/>
      <c r="P21" s="32" t="n"/>
      <c r="Q21" s="32" t="n"/>
    </row>
    <row r="22">
      <c r="B22" s="15" t="n"/>
      <c r="C22" s="23" t="n"/>
      <c r="D22" s="24" t="n"/>
      <c r="E22" s="15" t="n"/>
      <c r="F22" s="32" t="n"/>
      <c r="G22" s="32" t="n"/>
      <c r="H22" s="32" t="n"/>
      <c r="I22" s="32" t="n"/>
      <c r="J22" s="32" t="n"/>
      <c r="K22" s="32" t="n"/>
      <c r="L22" s="32" t="n"/>
      <c r="M22" s="32" t="n"/>
      <c r="N22" s="32" t="n"/>
      <c r="O22" s="32" t="n"/>
      <c r="P22" s="32" t="n"/>
      <c r="Q22" s="32" t="n"/>
    </row>
    <row r="23">
      <c r="B23" s="15" t="n"/>
      <c r="C23" s="23" t="n"/>
      <c r="D23" s="24" t="n"/>
      <c r="E23" s="15" t="n"/>
      <c r="F23" s="32" t="n"/>
      <c r="G23" s="32" t="n"/>
      <c r="H23" s="32" t="n"/>
      <c r="I23" s="32" t="n"/>
      <c r="J23" s="32" t="n"/>
      <c r="K23" s="32" t="n"/>
      <c r="L23" s="32" t="n"/>
      <c r="M23" s="32" t="n"/>
      <c r="N23" s="32" t="n"/>
      <c r="O23" s="32" t="n"/>
      <c r="P23" s="32" t="n"/>
      <c r="Q23" s="32" t="n"/>
    </row>
    <row r="24">
      <c r="B24" s="15" t="n"/>
      <c r="C24" s="23" t="n"/>
      <c r="D24" s="24" t="n"/>
      <c r="E24" s="15" t="n"/>
      <c r="F24" s="32" t="n"/>
      <c r="G24" s="32" t="n"/>
      <c r="H24" s="32" t="n"/>
      <c r="I24" s="32" t="n"/>
      <c r="J24" s="32" t="n"/>
      <c r="K24" s="32" t="n"/>
      <c r="L24" s="32" t="n"/>
      <c r="M24" s="32" t="n"/>
      <c r="N24" s="32" t="n"/>
      <c r="O24" s="32" t="n"/>
      <c r="P24" s="32" t="n"/>
      <c r="Q24" s="32" t="n"/>
    </row>
    <row r="25">
      <c r="B25" s="15" t="n"/>
      <c r="C25" s="23" t="n"/>
      <c r="D25" s="24" t="n"/>
      <c r="E25" s="15" t="n"/>
      <c r="F25" s="32" t="n"/>
      <c r="G25" s="32" t="n"/>
      <c r="H25" s="32" t="n"/>
      <c r="I25" s="32" t="n"/>
      <c r="J25" s="32" t="n"/>
      <c r="K25" s="32" t="n"/>
      <c r="L25" s="32" t="n"/>
      <c r="M25" s="32" t="n"/>
      <c r="N25" s="32" t="n"/>
      <c r="O25" s="32" t="n"/>
      <c r="P25" s="32" t="n"/>
      <c r="Q25" s="32" t="n"/>
    </row>
    <row r="26">
      <c r="B26" s="15" t="n"/>
      <c r="C26" s="23" t="n"/>
      <c r="D26" s="24" t="n"/>
      <c r="E26" s="15" t="n"/>
      <c r="F26" s="32" t="n"/>
      <c r="G26" s="32" t="n"/>
      <c r="H26" s="32" t="n"/>
      <c r="I26" s="32" t="n"/>
      <c r="J26" s="32" t="n"/>
      <c r="K26" s="32" t="n"/>
      <c r="L26" s="32" t="n"/>
      <c r="M26" s="32" t="n"/>
      <c r="N26" s="32" t="n"/>
      <c r="O26" s="32" t="n"/>
      <c r="P26" s="32" t="n"/>
      <c r="Q26" s="32" t="n"/>
    </row>
    <row r="27">
      <c r="B27" s="15" t="n"/>
      <c r="C27" s="23" t="n"/>
      <c r="D27" s="24" t="n"/>
      <c r="E27" s="15" t="n"/>
      <c r="F27" s="32" t="n"/>
      <c r="G27" s="32" t="n"/>
      <c r="H27" s="32" t="n"/>
      <c r="I27" s="32" t="n"/>
      <c r="J27" s="32" t="n"/>
      <c r="K27" s="32" t="n"/>
      <c r="L27" s="32" t="n"/>
      <c r="M27" s="32" t="n"/>
      <c r="N27" s="32" t="n"/>
      <c r="O27" s="32" t="n"/>
      <c r="P27" s="32" t="n"/>
      <c r="Q27" s="32" t="n"/>
    </row>
    <row r="28">
      <c r="B28" s="15" t="n"/>
      <c r="C28" s="23" t="n"/>
      <c r="D28" s="24" t="n"/>
      <c r="E28" s="15" t="n"/>
      <c r="F28" s="32" t="n"/>
      <c r="G28" s="32" t="n"/>
      <c r="H28" s="32" t="n"/>
      <c r="I28" s="32" t="n"/>
      <c r="J28" s="32" t="n"/>
      <c r="K28" s="32" t="n"/>
      <c r="L28" s="32" t="n"/>
      <c r="M28" s="32" t="n"/>
      <c r="N28" s="32" t="n"/>
      <c r="O28" s="32" t="n"/>
      <c r="P28" s="32" t="n"/>
      <c r="Q28" s="32" t="n"/>
    </row>
    <row r="29">
      <c r="B29" s="15" t="n"/>
      <c r="C29" s="23" t="n"/>
      <c r="D29" s="24" t="n"/>
      <c r="E29" s="15" t="n"/>
      <c r="F29" s="32" t="n"/>
      <c r="G29" s="32" t="n"/>
      <c r="H29" s="32" t="n"/>
      <c r="I29" s="32" t="n"/>
      <c r="J29" s="32" t="n"/>
      <c r="K29" s="32" t="n"/>
      <c r="L29" s="32" t="n"/>
      <c r="M29" s="32" t="n"/>
      <c r="N29" s="32" t="n"/>
      <c r="O29" s="32" t="n"/>
      <c r="P29" s="32" t="n"/>
      <c r="Q29" s="32" t="n"/>
    </row>
    <row r="30">
      <c r="B30" s="15" t="n"/>
      <c r="C30" s="23" t="n"/>
      <c r="D30" s="24" t="n"/>
      <c r="E30" s="15" t="n"/>
      <c r="F30" s="32" t="n"/>
      <c r="G30" s="32" t="n"/>
      <c r="H30" s="32" t="n"/>
      <c r="I30" s="32" t="n"/>
      <c r="J30" s="32" t="n"/>
      <c r="K30" s="32" t="n"/>
      <c r="L30" s="32" t="n"/>
      <c r="M30" s="32" t="n"/>
      <c r="N30" s="32" t="n"/>
      <c r="O30" s="32" t="n"/>
      <c r="P30" s="32" t="n"/>
      <c r="Q30" s="32" t="n"/>
    </row>
    <row r="31">
      <c r="B31" s="15" t="n"/>
      <c r="C31" s="23" t="n"/>
      <c r="D31" s="24" t="n"/>
      <c r="E31" s="15" t="n"/>
      <c r="F31" s="32" t="n"/>
      <c r="G31" s="32" t="n"/>
      <c r="H31" s="32" t="n"/>
      <c r="I31" s="32" t="n"/>
      <c r="J31" s="32" t="n"/>
      <c r="K31" s="32" t="n"/>
      <c r="L31" s="32" t="n"/>
      <c r="M31" s="32" t="n"/>
      <c r="N31" s="32" t="n"/>
      <c r="O31" s="32" t="n"/>
      <c r="P31" s="32" t="n"/>
      <c r="Q31" s="32" t="n"/>
    </row>
    <row r="32">
      <c r="B32" s="17" t="inlineStr">
        <is>
          <t>Total per month</t>
        </is>
      </c>
      <c r="D32" s="21">
        <f>SUM(D7:D31)</f>
        <v/>
      </c>
    </row>
  </sheetData>
  <sheetProtection selectLockedCells="0" selectUnlockedCells="0" sheet="1" objects="0" insertRows="0" insertHyperlinks="1" autoFilter="0" scenarios="0" formatColumns="0" deleteColumns="1" insertColumns="1" pivotTables="1" deleteRows="1" formatCells="1" formatRows="0" sort="0"/>
  <dataValidations count="2">
    <dataValidation sqref="F7 F8 F9 F10 F11 F12 F13 F14 F15 F16 F17 F18 F19 F20 F21 F22 F23 F24 F25 F26 F27 F28 F29 F30 F31 G7 G8 G9 G10 G11 G12 G13 G14 G15 G16 G17 G18 G19 G20 G21 G22 G23 G24 G25 G26 G27 G28 G29 G30 G31 H7 H8 H9 H10 H11 H12 H13 H14 H15 H16 H17 H18 H19 H20 H21 H22 H23 H24 H25 H26 H27 H28 H29 H30 H31 I7 I8 I9 I10 I11 I12 I13 I14 I15 I16 I17 I18 I19 I20 I21 I22 I23 I24 I25 I26 I27 I28 I29 I30 I31 J7 J8 J9 J10 J11 J12 J13 J14 J15 J16 J17 J18 J19 J20 J21 J22 J23 J24 J25 J26 J27 J28 J29 J30 J31 K7 K8 K9 K10 K11 K12 K13 K14 K15 K16 K17 K18 K19 K20 K21 K22 K23 K24 K25 K26 K27 K28 K29 K30 K31 L7 L8 L9 L10 L11 L12 L13 L14 L15 L16 L17 L18 L19 L20 L21 L22 L23 L24 L25 L26 L27 L28 L29 L30 L31 M7 M8 M9 M10 M11 M12 M13 M14 M15 M16 M17 M18 M19 M20 M21 M22 M23 M24 M25 M26 M27 M28 M29 M30 M31 N7 N8 N9 N10 N11 N12 N13 N14 N15 N16 N17 N18 N19 N20 N21 N22 N23 N24 N25 N26 N27 N28 N29 N30 N31 O7 O8 O9 O10 O11 O12 O13 O14 O15 O16 O17 O18 O19 O20 O21 O22 O23 O24 O25 O26 O27 O28 O29 O30 O31 P7 P8 P9 P10 P11 P12 P13 P14 P15 P16 P17 P18 P19 P20 P21 P22 P23 P24 P25 P26 P27 P28 P29 P30 P31 Q7 Q8 Q9 Q10 Q11 Q12 Q13 Q14 Q15 Q16 Q17 Q18 Q19 Q20 Q21 Q22 Q23 Q24 Q25 Q26 Q27 Q28 Q29 Q30 Q31" showDropDown="0" showInputMessage="0" showErrorMessage="0" allowBlank="1" type="list">
      <formula1>"✓"</formula1>
    </dataValidation>
    <dataValidation sqref="E7 E8 E9 E10 E11 E12 E13 E14 E15 E16 E17 E18 E19 E20 E21 E22 E23 E24 E25 E26 E27 E28 E29 E30 E31" showDropDown="0" showInputMessage="0" showErrorMessage="0" allowBlank="1" type="list">
      <formula1>"Yes,No"</formula1>
    </dataValidation>
  </dataValidations>
  <hyperlinks>
    <hyperlink ref="B4" location="'Start here'!A1" display="Start here"/>
    <hyperlink ref="C4" location="'Dashboard'!A1" display="Dashboard"/>
    <hyperlink ref="E4" location="'Setup'!A1" display="Setup"/>
    <hyperlink ref="F4" location="'January'!A1" display="Months"/>
    <hyperlink ref="H4" location="'Bills'!A1" display="Bills"/>
    <hyperlink ref="J4" location="'Paycheck plan'!A1" display="Paycheck"/>
    <hyperlink ref="L4" location="'Debt payoff'!A1" display="Debt"/>
    <hyperlink ref="N4" location="'Savings goals'!A1" display="Savings"/>
  </hyperlinks>
  <printOptions gridLines="0"/>
  <pageMargins left="0.75" right="0.75" top="1" bottom="1" header="0.5" footer="0.5"/>
  <pageSetup orientation="landscape" fitToHeight="1" fitToWidth="1"/>
</worksheet>
</file>

<file path=xl/worksheets/sheet17.xml><?xml version="1.0" encoding="utf-8"?>
<worksheet xmlns="http://schemas.openxmlformats.org/spreadsheetml/2006/main">
  <sheetPr>
    <tabColor rgb="005E6B78"/>
    <outlinePr summaryBelow="1" summaryRight="1"/>
    <pageSetUpPr fitToPage="1"/>
  </sheetPr>
  <dimension ref="B2:I64"/>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4" customWidth="1" min="3" max="3"/>
    <col width="18" customWidth="1" min="4" max="4"/>
    <col width="18"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Paycheck plan</t>
        </is>
      </c>
    </row>
    <row r="3">
      <c r="B3" s="2" t="inlineStr">
        <is>
          <t>Paid weekly or every two weeks? See which bills each paycheck covers. Paid monthly? Skip this tab.</t>
        </is>
      </c>
    </row>
    <row r="4">
      <c r="B4" s="3" t="inlineStr">
        <is>
          <t>Start here</t>
        </is>
      </c>
      <c r="C4" s="3" t="inlineStr">
        <is>
          <t>Dashboard</t>
        </is>
      </c>
      <c r="D4" s="3" t="inlineStr">
        <is>
          <t>Setup</t>
        </is>
      </c>
      <c r="E4" s="3" t="inlineStr">
        <is>
          <t>Months</t>
        </is>
      </c>
      <c r="F4" s="3" t="inlineStr">
        <is>
          <t>Bills</t>
        </is>
      </c>
      <c r="G4" s="3" t="inlineStr">
        <is>
          <t>Paycheck</t>
        </is>
      </c>
      <c r="H4" s="3" t="inlineStr">
        <is>
          <t>Debt</t>
        </is>
      </c>
      <c r="I4" s="3" t="inlineStr">
        <is>
          <t>Savings</t>
        </is>
      </c>
    </row>
    <row r="6">
      <c r="B6" s="17" t="inlineStr">
        <is>
          <t>Next payday</t>
        </is>
      </c>
      <c r="C6" s="33">
        <f>DATE(Year,1,1)+MOD(6-WEEKDAY(DATE(Year,1,1)),7)</f>
        <v/>
      </c>
    </row>
    <row r="7">
      <c r="B7" s="17" t="inlineStr">
        <is>
          <t>How often</t>
        </is>
      </c>
      <c r="C7" s="15" t="inlineStr">
        <is>
          <t>Every 2 weeks</t>
        </is>
      </c>
    </row>
    <row r="8">
      <c r="B8" s="17" t="inlineStr">
        <is>
          <t>Usual paycheck</t>
        </is>
      </c>
      <c r="C8" s="24">
        <f>ROUND('Setup'!$C$10*12/CHOOSE(MATCH($C$7,{"Weekly","Every 2 weeks","Twice a month","Monthly"},0),52,26,24,12),2)</f>
        <v/>
      </c>
      <c r="D8" s="26" t="inlineStr">
        <is>
          <t>Starts from your first income line in Setup. Type your real take-home pay.</t>
        </is>
      </c>
    </row>
    <row r="10" ht="34" customHeight="1">
      <c r="B10" s="9" t="inlineStr">
        <is>
          <t>Payday</t>
        </is>
      </c>
      <c r="C10" s="9" t="inlineStr">
        <is>
          <t>Paycheck</t>
        </is>
      </c>
      <c r="D10" s="9" t="inlineStr">
        <is>
          <t>Bills due before next payday</t>
        </is>
      </c>
      <c r="E10" s="9" t="inlineStr">
        <is>
          <t>Left from this paycheck</t>
        </is>
      </c>
      <c r="F10" s="9" t="inlineStr">
        <is>
          <t>Next payday</t>
        </is>
      </c>
    </row>
    <row r="11">
      <c r="B11" s="34">
        <f>$C$6</f>
        <v/>
      </c>
      <c r="C11" s="24">
        <f>IF(B11="","",$C$8)</f>
        <v/>
      </c>
      <c r="D11" s="20">
        <f>IF(B11="","",SUMPRODUCT(('Bills'!$C$7:$C$31&lt;&gt;"")*(DATE(YEAR(B11),MONTH(B11)+(DAY(B11)&gt;'Bills'!$C$7:$C$31),'Bills'!$C$7:$C$31)&lt;F11)*'Bills'!$D$7:$D$31))</f>
        <v/>
      </c>
      <c r="E11" s="21">
        <f>IF(B11="","",C11-D11)</f>
        <v/>
      </c>
      <c r="F11" s="35">
        <f>IF(B11="","",CHOOSE(MATCH($C$7,{"Weekly","Every 2 weeks","Twice a month","Monthly"},0),B11+7,B11+14,IF(DAY(B11)&lt;15,DATE(YEAR(B11),MONTH(B11),15),DATE(YEAR(B11),MONTH(B11)+1,1)),EDATE(B11,1)))</f>
        <v/>
      </c>
    </row>
    <row r="12">
      <c r="B12" s="34">
        <f>IF(F11="","",IF(F11&gt;DATE(Year,12,31),"",F11))</f>
        <v/>
      </c>
      <c r="C12" s="24">
        <f>IF(B12="","",$C$8)</f>
        <v/>
      </c>
      <c r="D12" s="20">
        <f>IF(B12="","",SUMPRODUCT(('Bills'!$C$7:$C$31&lt;&gt;"")*(DATE(YEAR(B12),MONTH(B12)+(DAY(B12)&gt;'Bills'!$C$7:$C$31),'Bills'!$C$7:$C$31)&lt;F12)*'Bills'!$D$7:$D$31))</f>
        <v/>
      </c>
      <c r="E12" s="21">
        <f>IF(B12="","",C12-D12)</f>
        <v/>
      </c>
      <c r="F12" s="35">
        <f>IF(B12="","",CHOOSE(MATCH($C$7,{"Weekly","Every 2 weeks","Twice a month","Monthly"},0),B12+7,B12+14,IF(DAY(B12)&lt;15,DATE(YEAR(B12),MONTH(B12),15),DATE(YEAR(B12),MONTH(B12)+1,1)),EDATE(B12,1)))</f>
        <v/>
      </c>
    </row>
    <row r="13">
      <c r="B13" s="34">
        <f>IF(F12="","",IF(F12&gt;DATE(Year,12,31),"",F12))</f>
        <v/>
      </c>
      <c r="C13" s="24">
        <f>IF(B13="","",$C$8)</f>
        <v/>
      </c>
      <c r="D13" s="20">
        <f>IF(B13="","",SUMPRODUCT(('Bills'!$C$7:$C$31&lt;&gt;"")*(DATE(YEAR(B13),MONTH(B13)+(DAY(B13)&gt;'Bills'!$C$7:$C$31),'Bills'!$C$7:$C$31)&lt;F13)*'Bills'!$D$7:$D$31))</f>
        <v/>
      </c>
      <c r="E13" s="21">
        <f>IF(B13="","",C13-D13)</f>
        <v/>
      </c>
      <c r="F13" s="35">
        <f>IF(B13="","",CHOOSE(MATCH($C$7,{"Weekly","Every 2 weeks","Twice a month","Monthly"},0),B13+7,B13+14,IF(DAY(B13)&lt;15,DATE(YEAR(B13),MONTH(B13),15),DATE(YEAR(B13),MONTH(B13)+1,1)),EDATE(B13,1)))</f>
        <v/>
      </c>
    </row>
    <row r="14">
      <c r="B14" s="34">
        <f>IF(F13="","",IF(F13&gt;DATE(Year,12,31),"",F13))</f>
        <v/>
      </c>
      <c r="C14" s="24">
        <f>IF(B14="","",$C$8)</f>
        <v/>
      </c>
      <c r="D14" s="20">
        <f>IF(B14="","",SUMPRODUCT(('Bills'!$C$7:$C$31&lt;&gt;"")*(DATE(YEAR(B14),MONTH(B14)+(DAY(B14)&gt;'Bills'!$C$7:$C$31),'Bills'!$C$7:$C$31)&lt;F14)*'Bills'!$D$7:$D$31))</f>
        <v/>
      </c>
      <c r="E14" s="21">
        <f>IF(B14="","",C14-D14)</f>
        <v/>
      </c>
      <c r="F14" s="35">
        <f>IF(B14="","",CHOOSE(MATCH($C$7,{"Weekly","Every 2 weeks","Twice a month","Monthly"},0),B14+7,B14+14,IF(DAY(B14)&lt;15,DATE(YEAR(B14),MONTH(B14),15),DATE(YEAR(B14),MONTH(B14)+1,1)),EDATE(B14,1)))</f>
        <v/>
      </c>
    </row>
    <row r="15">
      <c r="B15" s="34">
        <f>IF(F14="","",IF(F14&gt;DATE(Year,12,31),"",F14))</f>
        <v/>
      </c>
      <c r="C15" s="24">
        <f>IF(B15="","",$C$8)</f>
        <v/>
      </c>
      <c r="D15" s="20">
        <f>IF(B15="","",SUMPRODUCT(('Bills'!$C$7:$C$31&lt;&gt;"")*(DATE(YEAR(B15),MONTH(B15)+(DAY(B15)&gt;'Bills'!$C$7:$C$31),'Bills'!$C$7:$C$31)&lt;F15)*'Bills'!$D$7:$D$31))</f>
        <v/>
      </c>
      <c r="E15" s="21">
        <f>IF(B15="","",C15-D15)</f>
        <v/>
      </c>
      <c r="F15" s="35">
        <f>IF(B15="","",CHOOSE(MATCH($C$7,{"Weekly","Every 2 weeks","Twice a month","Monthly"},0),B15+7,B15+14,IF(DAY(B15)&lt;15,DATE(YEAR(B15),MONTH(B15),15),DATE(YEAR(B15),MONTH(B15)+1,1)),EDATE(B15,1)))</f>
        <v/>
      </c>
    </row>
    <row r="16">
      <c r="B16" s="34">
        <f>IF(F15="","",IF(F15&gt;DATE(Year,12,31),"",F15))</f>
        <v/>
      </c>
      <c r="C16" s="24">
        <f>IF(B16="","",$C$8)</f>
        <v/>
      </c>
      <c r="D16" s="20">
        <f>IF(B16="","",SUMPRODUCT(('Bills'!$C$7:$C$31&lt;&gt;"")*(DATE(YEAR(B16),MONTH(B16)+(DAY(B16)&gt;'Bills'!$C$7:$C$31),'Bills'!$C$7:$C$31)&lt;F16)*'Bills'!$D$7:$D$31))</f>
        <v/>
      </c>
      <c r="E16" s="21">
        <f>IF(B16="","",C16-D16)</f>
        <v/>
      </c>
      <c r="F16" s="35">
        <f>IF(B16="","",CHOOSE(MATCH($C$7,{"Weekly","Every 2 weeks","Twice a month","Monthly"},0),B16+7,B16+14,IF(DAY(B16)&lt;15,DATE(YEAR(B16),MONTH(B16),15),DATE(YEAR(B16),MONTH(B16)+1,1)),EDATE(B16,1)))</f>
        <v/>
      </c>
    </row>
    <row r="17">
      <c r="B17" s="34">
        <f>IF(F16="","",IF(F16&gt;DATE(Year,12,31),"",F16))</f>
        <v/>
      </c>
      <c r="C17" s="24">
        <f>IF(B17="","",$C$8)</f>
        <v/>
      </c>
      <c r="D17" s="20">
        <f>IF(B17="","",SUMPRODUCT(('Bills'!$C$7:$C$31&lt;&gt;"")*(DATE(YEAR(B17),MONTH(B17)+(DAY(B17)&gt;'Bills'!$C$7:$C$31),'Bills'!$C$7:$C$31)&lt;F17)*'Bills'!$D$7:$D$31))</f>
        <v/>
      </c>
      <c r="E17" s="21">
        <f>IF(B17="","",C17-D17)</f>
        <v/>
      </c>
      <c r="F17" s="35">
        <f>IF(B17="","",CHOOSE(MATCH($C$7,{"Weekly","Every 2 weeks","Twice a month","Monthly"},0),B17+7,B17+14,IF(DAY(B17)&lt;15,DATE(YEAR(B17),MONTH(B17),15),DATE(YEAR(B17),MONTH(B17)+1,1)),EDATE(B17,1)))</f>
        <v/>
      </c>
    </row>
    <row r="18">
      <c r="B18" s="34">
        <f>IF(F17="","",IF(F17&gt;DATE(Year,12,31),"",F17))</f>
        <v/>
      </c>
      <c r="C18" s="24">
        <f>IF(B18="","",$C$8)</f>
        <v/>
      </c>
      <c r="D18" s="20">
        <f>IF(B18="","",SUMPRODUCT(('Bills'!$C$7:$C$31&lt;&gt;"")*(DATE(YEAR(B18),MONTH(B18)+(DAY(B18)&gt;'Bills'!$C$7:$C$31),'Bills'!$C$7:$C$31)&lt;F18)*'Bills'!$D$7:$D$31))</f>
        <v/>
      </c>
      <c r="E18" s="21">
        <f>IF(B18="","",C18-D18)</f>
        <v/>
      </c>
      <c r="F18" s="35">
        <f>IF(B18="","",CHOOSE(MATCH($C$7,{"Weekly","Every 2 weeks","Twice a month","Monthly"},0),B18+7,B18+14,IF(DAY(B18)&lt;15,DATE(YEAR(B18),MONTH(B18),15),DATE(YEAR(B18),MONTH(B18)+1,1)),EDATE(B18,1)))</f>
        <v/>
      </c>
    </row>
    <row r="19">
      <c r="B19" s="34">
        <f>IF(F18="","",IF(F18&gt;DATE(Year,12,31),"",F18))</f>
        <v/>
      </c>
      <c r="C19" s="24">
        <f>IF(B19="","",$C$8)</f>
        <v/>
      </c>
      <c r="D19" s="20">
        <f>IF(B19="","",SUMPRODUCT(('Bills'!$C$7:$C$31&lt;&gt;"")*(DATE(YEAR(B19),MONTH(B19)+(DAY(B19)&gt;'Bills'!$C$7:$C$31),'Bills'!$C$7:$C$31)&lt;F19)*'Bills'!$D$7:$D$31))</f>
        <v/>
      </c>
      <c r="E19" s="21">
        <f>IF(B19="","",C19-D19)</f>
        <v/>
      </c>
      <c r="F19" s="35">
        <f>IF(B19="","",CHOOSE(MATCH($C$7,{"Weekly","Every 2 weeks","Twice a month","Monthly"},0),B19+7,B19+14,IF(DAY(B19)&lt;15,DATE(YEAR(B19),MONTH(B19),15),DATE(YEAR(B19),MONTH(B19)+1,1)),EDATE(B19,1)))</f>
        <v/>
      </c>
    </row>
    <row r="20">
      <c r="B20" s="34">
        <f>IF(F19="","",IF(F19&gt;DATE(Year,12,31),"",F19))</f>
        <v/>
      </c>
      <c r="C20" s="24">
        <f>IF(B20="","",$C$8)</f>
        <v/>
      </c>
      <c r="D20" s="20">
        <f>IF(B20="","",SUMPRODUCT(('Bills'!$C$7:$C$31&lt;&gt;"")*(DATE(YEAR(B20),MONTH(B20)+(DAY(B20)&gt;'Bills'!$C$7:$C$31),'Bills'!$C$7:$C$31)&lt;F20)*'Bills'!$D$7:$D$31))</f>
        <v/>
      </c>
      <c r="E20" s="21">
        <f>IF(B20="","",C20-D20)</f>
        <v/>
      </c>
      <c r="F20" s="35">
        <f>IF(B20="","",CHOOSE(MATCH($C$7,{"Weekly","Every 2 weeks","Twice a month","Monthly"},0),B20+7,B20+14,IF(DAY(B20)&lt;15,DATE(YEAR(B20),MONTH(B20),15),DATE(YEAR(B20),MONTH(B20)+1,1)),EDATE(B20,1)))</f>
        <v/>
      </c>
    </row>
    <row r="21">
      <c r="B21" s="34">
        <f>IF(F20="","",IF(F20&gt;DATE(Year,12,31),"",F20))</f>
        <v/>
      </c>
      <c r="C21" s="24">
        <f>IF(B21="","",$C$8)</f>
        <v/>
      </c>
      <c r="D21" s="20">
        <f>IF(B21="","",SUMPRODUCT(('Bills'!$C$7:$C$31&lt;&gt;"")*(DATE(YEAR(B21),MONTH(B21)+(DAY(B21)&gt;'Bills'!$C$7:$C$31),'Bills'!$C$7:$C$31)&lt;F21)*'Bills'!$D$7:$D$31))</f>
        <v/>
      </c>
      <c r="E21" s="21">
        <f>IF(B21="","",C21-D21)</f>
        <v/>
      </c>
      <c r="F21" s="35">
        <f>IF(B21="","",CHOOSE(MATCH($C$7,{"Weekly","Every 2 weeks","Twice a month","Monthly"},0),B21+7,B21+14,IF(DAY(B21)&lt;15,DATE(YEAR(B21),MONTH(B21),15),DATE(YEAR(B21),MONTH(B21)+1,1)),EDATE(B21,1)))</f>
        <v/>
      </c>
    </row>
    <row r="22">
      <c r="B22" s="34">
        <f>IF(F21="","",IF(F21&gt;DATE(Year,12,31),"",F21))</f>
        <v/>
      </c>
      <c r="C22" s="24">
        <f>IF(B22="","",$C$8)</f>
        <v/>
      </c>
      <c r="D22" s="20">
        <f>IF(B22="","",SUMPRODUCT(('Bills'!$C$7:$C$31&lt;&gt;"")*(DATE(YEAR(B22),MONTH(B22)+(DAY(B22)&gt;'Bills'!$C$7:$C$31),'Bills'!$C$7:$C$31)&lt;F22)*'Bills'!$D$7:$D$31))</f>
        <v/>
      </c>
      <c r="E22" s="21">
        <f>IF(B22="","",C22-D22)</f>
        <v/>
      </c>
      <c r="F22" s="35">
        <f>IF(B22="","",CHOOSE(MATCH($C$7,{"Weekly","Every 2 weeks","Twice a month","Monthly"},0),B22+7,B22+14,IF(DAY(B22)&lt;15,DATE(YEAR(B22),MONTH(B22),15),DATE(YEAR(B22),MONTH(B22)+1,1)),EDATE(B22,1)))</f>
        <v/>
      </c>
    </row>
    <row r="23">
      <c r="B23" s="34">
        <f>IF(F22="","",IF(F22&gt;DATE(Year,12,31),"",F22))</f>
        <v/>
      </c>
      <c r="C23" s="24">
        <f>IF(B23="","",$C$8)</f>
        <v/>
      </c>
      <c r="D23" s="20">
        <f>IF(B23="","",SUMPRODUCT(('Bills'!$C$7:$C$31&lt;&gt;"")*(DATE(YEAR(B23),MONTH(B23)+(DAY(B23)&gt;'Bills'!$C$7:$C$31),'Bills'!$C$7:$C$31)&lt;F23)*'Bills'!$D$7:$D$31))</f>
        <v/>
      </c>
      <c r="E23" s="21">
        <f>IF(B23="","",C23-D23)</f>
        <v/>
      </c>
      <c r="F23" s="35">
        <f>IF(B23="","",CHOOSE(MATCH($C$7,{"Weekly","Every 2 weeks","Twice a month","Monthly"},0),B23+7,B23+14,IF(DAY(B23)&lt;15,DATE(YEAR(B23),MONTH(B23),15),DATE(YEAR(B23),MONTH(B23)+1,1)),EDATE(B23,1)))</f>
        <v/>
      </c>
    </row>
    <row r="24">
      <c r="B24" s="34">
        <f>IF(F23="","",IF(F23&gt;DATE(Year,12,31),"",F23))</f>
        <v/>
      </c>
      <c r="C24" s="24">
        <f>IF(B24="","",$C$8)</f>
        <v/>
      </c>
      <c r="D24" s="20">
        <f>IF(B24="","",SUMPRODUCT(('Bills'!$C$7:$C$31&lt;&gt;"")*(DATE(YEAR(B24),MONTH(B24)+(DAY(B24)&gt;'Bills'!$C$7:$C$31),'Bills'!$C$7:$C$31)&lt;F24)*'Bills'!$D$7:$D$31))</f>
        <v/>
      </c>
      <c r="E24" s="21">
        <f>IF(B24="","",C24-D24)</f>
        <v/>
      </c>
      <c r="F24" s="35">
        <f>IF(B24="","",CHOOSE(MATCH($C$7,{"Weekly","Every 2 weeks","Twice a month","Monthly"},0),B24+7,B24+14,IF(DAY(B24)&lt;15,DATE(YEAR(B24),MONTH(B24),15),DATE(YEAR(B24),MONTH(B24)+1,1)),EDATE(B24,1)))</f>
        <v/>
      </c>
    </row>
    <row r="25">
      <c r="B25" s="34">
        <f>IF(F24="","",IF(F24&gt;DATE(Year,12,31),"",F24))</f>
        <v/>
      </c>
      <c r="C25" s="24">
        <f>IF(B25="","",$C$8)</f>
        <v/>
      </c>
      <c r="D25" s="20">
        <f>IF(B25="","",SUMPRODUCT(('Bills'!$C$7:$C$31&lt;&gt;"")*(DATE(YEAR(B25),MONTH(B25)+(DAY(B25)&gt;'Bills'!$C$7:$C$31),'Bills'!$C$7:$C$31)&lt;F25)*'Bills'!$D$7:$D$31))</f>
        <v/>
      </c>
      <c r="E25" s="21">
        <f>IF(B25="","",C25-D25)</f>
        <v/>
      </c>
      <c r="F25" s="35">
        <f>IF(B25="","",CHOOSE(MATCH($C$7,{"Weekly","Every 2 weeks","Twice a month","Monthly"},0),B25+7,B25+14,IF(DAY(B25)&lt;15,DATE(YEAR(B25),MONTH(B25),15),DATE(YEAR(B25),MONTH(B25)+1,1)),EDATE(B25,1)))</f>
        <v/>
      </c>
    </row>
    <row r="26">
      <c r="B26" s="34">
        <f>IF(F25="","",IF(F25&gt;DATE(Year,12,31),"",F25))</f>
        <v/>
      </c>
      <c r="C26" s="24">
        <f>IF(B26="","",$C$8)</f>
        <v/>
      </c>
      <c r="D26" s="20">
        <f>IF(B26="","",SUMPRODUCT(('Bills'!$C$7:$C$31&lt;&gt;"")*(DATE(YEAR(B26),MONTH(B26)+(DAY(B26)&gt;'Bills'!$C$7:$C$31),'Bills'!$C$7:$C$31)&lt;F26)*'Bills'!$D$7:$D$31))</f>
        <v/>
      </c>
      <c r="E26" s="21">
        <f>IF(B26="","",C26-D26)</f>
        <v/>
      </c>
      <c r="F26" s="35">
        <f>IF(B26="","",CHOOSE(MATCH($C$7,{"Weekly","Every 2 weeks","Twice a month","Monthly"},0),B26+7,B26+14,IF(DAY(B26)&lt;15,DATE(YEAR(B26),MONTH(B26),15),DATE(YEAR(B26),MONTH(B26)+1,1)),EDATE(B26,1)))</f>
        <v/>
      </c>
    </row>
    <row r="27">
      <c r="B27" s="34">
        <f>IF(F26="","",IF(F26&gt;DATE(Year,12,31),"",F26))</f>
        <v/>
      </c>
      <c r="C27" s="24">
        <f>IF(B27="","",$C$8)</f>
        <v/>
      </c>
      <c r="D27" s="20">
        <f>IF(B27="","",SUMPRODUCT(('Bills'!$C$7:$C$31&lt;&gt;"")*(DATE(YEAR(B27),MONTH(B27)+(DAY(B27)&gt;'Bills'!$C$7:$C$31),'Bills'!$C$7:$C$31)&lt;F27)*'Bills'!$D$7:$D$31))</f>
        <v/>
      </c>
      <c r="E27" s="21">
        <f>IF(B27="","",C27-D27)</f>
        <v/>
      </c>
      <c r="F27" s="35">
        <f>IF(B27="","",CHOOSE(MATCH($C$7,{"Weekly","Every 2 weeks","Twice a month","Monthly"},0),B27+7,B27+14,IF(DAY(B27)&lt;15,DATE(YEAR(B27),MONTH(B27),15),DATE(YEAR(B27),MONTH(B27)+1,1)),EDATE(B27,1)))</f>
        <v/>
      </c>
    </row>
    <row r="28">
      <c r="B28" s="34">
        <f>IF(F27="","",IF(F27&gt;DATE(Year,12,31),"",F27))</f>
        <v/>
      </c>
      <c r="C28" s="24">
        <f>IF(B28="","",$C$8)</f>
        <v/>
      </c>
      <c r="D28" s="20">
        <f>IF(B28="","",SUMPRODUCT(('Bills'!$C$7:$C$31&lt;&gt;"")*(DATE(YEAR(B28),MONTH(B28)+(DAY(B28)&gt;'Bills'!$C$7:$C$31),'Bills'!$C$7:$C$31)&lt;F28)*'Bills'!$D$7:$D$31))</f>
        <v/>
      </c>
      <c r="E28" s="21">
        <f>IF(B28="","",C28-D28)</f>
        <v/>
      </c>
      <c r="F28" s="35">
        <f>IF(B28="","",CHOOSE(MATCH($C$7,{"Weekly","Every 2 weeks","Twice a month","Monthly"},0),B28+7,B28+14,IF(DAY(B28)&lt;15,DATE(YEAR(B28),MONTH(B28),15),DATE(YEAR(B28),MONTH(B28)+1,1)),EDATE(B28,1)))</f>
        <v/>
      </c>
    </row>
    <row r="29">
      <c r="B29" s="34">
        <f>IF(F28="","",IF(F28&gt;DATE(Year,12,31),"",F28))</f>
        <v/>
      </c>
      <c r="C29" s="24">
        <f>IF(B29="","",$C$8)</f>
        <v/>
      </c>
      <c r="D29" s="20">
        <f>IF(B29="","",SUMPRODUCT(('Bills'!$C$7:$C$31&lt;&gt;"")*(DATE(YEAR(B29),MONTH(B29)+(DAY(B29)&gt;'Bills'!$C$7:$C$31),'Bills'!$C$7:$C$31)&lt;F29)*'Bills'!$D$7:$D$31))</f>
        <v/>
      </c>
      <c r="E29" s="21">
        <f>IF(B29="","",C29-D29)</f>
        <v/>
      </c>
      <c r="F29" s="35">
        <f>IF(B29="","",CHOOSE(MATCH($C$7,{"Weekly","Every 2 weeks","Twice a month","Monthly"},0),B29+7,B29+14,IF(DAY(B29)&lt;15,DATE(YEAR(B29),MONTH(B29),15),DATE(YEAR(B29),MONTH(B29)+1,1)),EDATE(B29,1)))</f>
        <v/>
      </c>
    </row>
    <row r="30">
      <c r="B30" s="34">
        <f>IF(F29="","",IF(F29&gt;DATE(Year,12,31),"",F29))</f>
        <v/>
      </c>
      <c r="C30" s="24">
        <f>IF(B30="","",$C$8)</f>
        <v/>
      </c>
      <c r="D30" s="20">
        <f>IF(B30="","",SUMPRODUCT(('Bills'!$C$7:$C$31&lt;&gt;"")*(DATE(YEAR(B30),MONTH(B30)+(DAY(B30)&gt;'Bills'!$C$7:$C$31),'Bills'!$C$7:$C$31)&lt;F30)*'Bills'!$D$7:$D$31))</f>
        <v/>
      </c>
      <c r="E30" s="21">
        <f>IF(B30="","",C30-D30)</f>
        <v/>
      </c>
      <c r="F30" s="35">
        <f>IF(B30="","",CHOOSE(MATCH($C$7,{"Weekly","Every 2 weeks","Twice a month","Monthly"},0),B30+7,B30+14,IF(DAY(B30)&lt;15,DATE(YEAR(B30),MONTH(B30),15),DATE(YEAR(B30),MONTH(B30)+1,1)),EDATE(B30,1)))</f>
        <v/>
      </c>
    </row>
    <row r="31">
      <c r="B31" s="34">
        <f>IF(F30="","",IF(F30&gt;DATE(Year,12,31),"",F30))</f>
        <v/>
      </c>
      <c r="C31" s="24">
        <f>IF(B31="","",$C$8)</f>
        <v/>
      </c>
      <c r="D31" s="20">
        <f>IF(B31="","",SUMPRODUCT(('Bills'!$C$7:$C$31&lt;&gt;"")*(DATE(YEAR(B31),MONTH(B31)+(DAY(B31)&gt;'Bills'!$C$7:$C$31),'Bills'!$C$7:$C$31)&lt;F31)*'Bills'!$D$7:$D$31))</f>
        <v/>
      </c>
      <c r="E31" s="21">
        <f>IF(B31="","",C31-D31)</f>
        <v/>
      </c>
      <c r="F31" s="35">
        <f>IF(B31="","",CHOOSE(MATCH($C$7,{"Weekly","Every 2 weeks","Twice a month","Monthly"},0),B31+7,B31+14,IF(DAY(B31)&lt;15,DATE(YEAR(B31),MONTH(B31),15),DATE(YEAR(B31),MONTH(B31)+1,1)),EDATE(B31,1)))</f>
        <v/>
      </c>
    </row>
    <row r="32">
      <c r="B32" s="34">
        <f>IF(F31="","",IF(F31&gt;DATE(Year,12,31),"",F31))</f>
        <v/>
      </c>
      <c r="C32" s="24">
        <f>IF(B32="","",$C$8)</f>
        <v/>
      </c>
      <c r="D32" s="20">
        <f>IF(B32="","",SUMPRODUCT(('Bills'!$C$7:$C$31&lt;&gt;"")*(DATE(YEAR(B32),MONTH(B32)+(DAY(B32)&gt;'Bills'!$C$7:$C$31),'Bills'!$C$7:$C$31)&lt;F32)*'Bills'!$D$7:$D$31))</f>
        <v/>
      </c>
      <c r="E32" s="21">
        <f>IF(B32="","",C32-D32)</f>
        <v/>
      </c>
      <c r="F32" s="35">
        <f>IF(B32="","",CHOOSE(MATCH($C$7,{"Weekly","Every 2 weeks","Twice a month","Monthly"},0),B32+7,B32+14,IF(DAY(B32)&lt;15,DATE(YEAR(B32),MONTH(B32),15),DATE(YEAR(B32),MONTH(B32)+1,1)),EDATE(B32,1)))</f>
        <v/>
      </c>
    </row>
    <row r="33">
      <c r="B33" s="34">
        <f>IF(F32="","",IF(F32&gt;DATE(Year,12,31),"",F32))</f>
        <v/>
      </c>
      <c r="C33" s="24">
        <f>IF(B33="","",$C$8)</f>
        <v/>
      </c>
      <c r="D33" s="20">
        <f>IF(B33="","",SUMPRODUCT(('Bills'!$C$7:$C$31&lt;&gt;"")*(DATE(YEAR(B33),MONTH(B33)+(DAY(B33)&gt;'Bills'!$C$7:$C$31),'Bills'!$C$7:$C$31)&lt;F33)*'Bills'!$D$7:$D$31))</f>
        <v/>
      </c>
      <c r="E33" s="21">
        <f>IF(B33="","",C33-D33)</f>
        <v/>
      </c>
      <c r="F33" s="35">
        <f>IF(B33="","",CHOOSE(MATCH($C$7,{"Weekly","Every 2 weeks","Twice a month","Monthly"},0),B33+7,B33+14,IF(DAY(B33)&lt;15,DATE(YEAR(B33),MONTH(B33),15),DATE(YEAR(B33),MONTH(B33)+1,1)),EDATE(B33,1)))</f>
        <v/>
      </c>
    </row>
    <row r="34">
      <c r="B34" s="34">
        <f>IF(F33="","",IF(F33&gt;DATE(Year,12,31),"",F33))</f>
        <v/>
      </c>
      <c r="C34" s="24">
        <f>IF(B34="","",$C$8)</f>
        <v/>
      </c>
      <c r="D34" s="20">
        <f>IF(B34="","",SUMPRODUCT(('Bills'!$C$7:$C$31&lt;&gt;"")*(DATE(YEAR(B34),MONTH(B34)+(DAY(B34)&gt;'Bills'!$C$7:$C$31),'Bills'!$C$7:$C$31)&lt;F34)*'Bills'!$D$7:$D$31))</f>
        <v/>
      </c>
      <c r="E34" s="21">
        <f>IF(B34="","",C34-D34)</f>
        <v/>
      </c>
      <c r="F34" s="35">
        <f>IF(B34="","",CHOOSE(MATCH($C$7,{"Weekly","Every 2 weeks","Twice a month","Monthly"},0),B34+7,B34+14,IF(DAY(B34)&lt;15,DATE(YEAR(B34),MONTH(B34),15),DATE(YEAR(B34),MONTH(B34)+1,1)),EDATE(B34,1)))</f>
        <v/>
      </c>
    </row>
    <row r="35">
      <c r="B35" s="34">
        <f>IF(F34="","",IF(F34&gt;DATE(Year,12,31),"",F34))</f>
        <v/>
      </c>
      <c r="C35" s="24">
        <f>IF(B35="","",$C$8)</f>
        <v/>
      </c>
      <c r="D35" s="20">
        <f>IF(B35="","",SUMPRODUCT(('Bills'!$C$7:$C$31&lt;&gt;"")*(DATE(YEAR(B35),MONTH(B35)+(DAY(B35)&gt;'Bills'!$C$7:$C$31),'Bills'!$C$7:$C$31)&lt;F35)*'Bills'!$D$7:$D$31))</f>
        <v/>
      </c>
      <c r="E35" s="21">
        <f>IF(B35="","",C35-D35)</f>
        <v/>
      </c>
      <c r="F35" s="35">
        <f>IF(B35="","",CHOOSE(MATCH($C$7,{"Weekly","Every 2 weeks","Twice a month","Monthly"},0),B35+7,B35+14,IF(DAY(B35)&lt;15,DATE(YEAR(B35),MONTH(B35),15),DATE(YEAR(B35),MONTH(B35)+1,1)),EDATE(B35,1)))</f>
        <v/>
      </c>
    </row>
    <row r="36">
      <c r="B36" s="34">
        <f>IF(F35="","",IF(F35&gt;DATE(Year,12,31),"",F35))</f>
        <v/>
      </c>
      <c r="C36" s="24">
        <f>IF(B36="","",$C$8)</f>
        <v/>
      </c>
      <c r="D36" s="20">
        <f>IF(B36="","",SUMPRODUCT(('Bills'!$C$7:$C$31&lt;&gt;"")*(DATE(YEAR(B36),MONTH(B36)+(DAY(B36)&gt;'Bills'!$C$7:$C$31),'Bills'!$C$7:$C$31)&lt;F36)*'Bills'!$D$7:$D$31))</f>
        <v/>
      </c>
      <c r="E36" s="21">
        <f>IF(B36="","",C36-D36)</f>
        <v/>
      </c>
      <c r="F36" s="35">
        <f>IF(B36="","",CHOOSE(MATCH($C$7,{"Weekly","Every 2 weeks","Twice a month","Monthly"},0),B36+7,B36+14,IF(DAY(B36)&lt;15,DATE(YEAR(B36),MONTH(B36),15),DATE(YEAR(B36),MONTH(B36)+1,1)),EDATE(B36,1)))</f>
        <v/>
      </c>
    </row>
    <row r="37">
      <c r="B37" s="34">
        <f>IF(F36="","",IF(F36&gt;DATE(Year,12,31),"",F36))</f>
        <v/>
      </c>
      <c r="C37" s="24">
        <f>IF(B37="","",$C$8)</f>
        <v/>
      </c>
      <c r="D37" s="20">
        <f>IF(B37="","",SUMPRODUCT(('Bills'!$C$7:$C$31&lt;&gt;"")*(DATE(YEAR(B37),MONTH(B37)+(DAY(B37)&gt;'Bills'!$C$7:$C$31),'Bills'!$C$7:$C$31)&lt;F37)*'Bills'!$D$7:$D$31))</f>
        <v/>
      </c>
      <c r="E37" s="21">
        <f>IF(B37="","",C37-D37)</f>
        <v/>
      </c>
      <c r="F37" s="35">
        <f>IF(B37="","",CHOOSE(MATCH($C$7,{"Weekly","Every 2 weeks","Twice a month","Monthly"},0),B37+7,B37+14,IF(DAY(B37)&lt;15,DATE(YEAR(B37),MONTH(B37),15),DATE(YEAR(B37),MONTH(B37)+1,1)),EDATE(B37,1)))</f>
        <v/>
      </c>
    </row>
    <row r="38">
      <c r="B38" s="34">
        <f>IF(F37="","",IF(F37&gt;DATE(Year,12,31),"",F37))</f>
        <v/>
      </c>
      <c r="C38" s="24">
        <f>IF(B38="","",$C$8)</f>
        <v/>
      </c>
      <c r="D38" s="20">
        <f>IF(B38="","",SUMPRODUCT(('Bills'!$C$7:$C$31&lt;&gt;"")*(DATE(YEAR(B38),MONTH(B38)+(DAY(B38)&gt;'Bills'!$C$7:$C$31),'Bills'!$C$7:$C$31)&lt;F38)*'Bills'!$D$7:$D$31))</f>
        <v/>
      </c>
      <c r="E38" s="21">
        <f>IF(B38="","",C38-D38)</f>
        <v/>
      </c>
      <c r="F38" s="35">
        <f>IF(B38="","",CHOOSE(MATCH($C$7,{"Weekly","Every 2 weeks","Twice a month","Monthly"},0),B38+7,B38+14,IF(DAY(B38)&lt;15,DATE(YEAR(B38),MONTH(B38),15),DATE(YEAR(B38),MONTH(B38)+1,1)),EDATE(B38,1)))</f>
        <v/>
      </c>
    </row>
    <row r="39">
      <c r="B39" s="34">
        <f>IF(F38="","",IF(F38&gt;DATE(Year,12,31),"",F38))</f>
        <v/>
      </c>
      <c r="C39" s="24">
        <f>IF(B39="","",$C$8)</f>
        <v/>
      </c>
      <c r="D39" s="20">
        <f>IF(B39="","",SUMPRODUCT(('Bills'!$C$7:$C$31&lt;&gt;"")*(DATE(YEAR(B39),MONTH(B39)+(DAY(B39)&gt;'Bills'!$C$7:$C$31),'Bills'!$C$7:$C$31)&lt;F39)*'Bills'!$D$7:$D$31))</f>
        <v/>
      </c>
      <c r="E39" s="21">
        <f>IF(B39="","",C39-D39)</f>
        <v/>
      </c>
      <c r="F39" s="35">
        <f>IF(B39="","",CHOOSE(MATCH($C$7,{"Weekly","Every 2 weeks","Twice a month","Monthly"},0),B39+7,B39+14,IF(DAY(B39)&lt;15,DATE(YEAR(B39),MONTH(B39),15),DATE(YEAR(B39),MONTH(B39)+1,1)),EDATE(B39,1)))</f>
        <v/>
      </c>
    </row>
    <row r="40">
      <c r="B40" s="34">
        <f>IF(F39="","",IF(F39&gt;DATE(Year,12,31),"",F39))</f>
        <v/>
      </c>
      <c r="C40" s="24">
        <f>IF(B40="","",$C$8)</f>
        <v/>
      </c>
      <c r="D40" s="20">
        <f>IF(B40="","",SUMPRODUCT(('Bills'!$C$7:$C$31&lt;&gt;"")*(DATE(YEAR(B40),MONTH(B40)+(DAY(B40)&gt;'Bills'!$C$7:$C$31),'Bills'!$C$7:$C$31)&lt;F40)*'Bills'!$D$7:$D$31))</f>
        <v/>
      </c>
      <c r="E40" s="21">
        <f>IF(B40="","",C40-D40)</f>
        <v/>
      </c>
      <c r="F40" s="35">
        <f>IF(B40="","",CHOOSE(MATCH($C$7,{"Weekly","Every 2 weeks","Twice a month","Monthly"},0),B40+7,B40+14,IF(DAY(B40)&lt;15,DATE(YEAR(B40),MONTH(B40),15),DATE(YEAR(B40),MONTH(B40)+1,1)),EDATE(B40,1)))</f>
        <v/>
      </c>
    </row>
    <row r="41">
      <c r="B41" s="34">
        <f>IF(F40="","",IF(F40&gt;DATE(Year,12,31),"",F40))</f>
        <v/>
      </c>
      <c r="C41" s="24">
        <f>IF(B41="","",$C$8)</f>
        <v/>
      </c>
      <c r="D41" s="20">
        <f>IF(B41="","",SUMPRODUCT(('Bills'!$C$7:$C$31&lt;&gt;"")*(DATE(YEAR(B41),MONTH(B41)+(DAY(B41)&gt;'Bills'!$C$7:$C$31),'Bills'!$C$7:$C$31)&lt;F41)*'Bills'!$D$7:$D$31))</f>
        <v/>
      </c>
      <c r="E41" s="21">
        <f>IF(B41="","",C41-D41)</f>
        <v/>
      </c>
      <c r="F41" s="35">
        <f>IF(B41="","",CHOOSE(MATCH($C$7,{"Weekly","Every 2 weeks","Twice a month","Monthly"},0),B41+7,B41+14,IF(DAY(B41)&lt;15,DATE(YEAR(B41),MONTH(B41),15),DATE(YEAR(B41),MONTH(B41)+1,1)),EDATE(B41,1)))</f>
        <v/>
      </c>
    </row>
    <row r="42">
      <c r="B42" s="34">
        <f>IF(F41="","",IF(F41&gt;DATE(Year,12,31),"",F41))</f>
        <v/>
      </c>
      <c r="C42" s="24">
        <f>IF(B42="","",$C$8)</f>
        <v/>
      </c>
      <c r="D42" s="20">
        <f>IF(B42="","",SUMPRODUCT(('Bills'!$C$7:$C$31&lt;&gt;"")*(DATE(YEAR(B42),MONTH(B42)+(DAY(B42)&gt;'Bills'!$C$7:$C$31),'Bills'!$C$7:$C$31)&lt;F42)*'Bills'!$D$7:$D$31))</f>
        <v/>
      </c>
      <c r="E42" s="21">
        <f>IF(B42="","",C42-D42)</f>
        <v/>
      </c>
      <c r="F42" s="35">
        <f>IF(B42="","",CHOOSE(MATCH($C$7,{"Weekly","Every 2 weeks","Twice a month","Monthly"},0),B42+7,B42+14,IF(DAY(B42)&lt;15,DATE(YEAR(B42),MONTH(B42),15),DATE(YEAR(B42),MONTH(B42)+1,1)),EDATE(B42,1)))</f>
        <v/>
      </c>
    </row>
    <row r="43">
      <c r="B43" s="34">
        <f>IF(F42="","",IF(F42&gt;DATE(Year,12,31),"",F42))</f>
        <v/>
      </c>
      <c r="C43" s="24">
        <f>IF(B43="","",$C$8)</f>
        <v/>
      </c>
      <c r="D43" s="20">
        <f>IF(B43="","",SUMPRODUCT(('Bills'!$C$7:$C$31&lt;&gt;"")*(DATE(YEAR(B43),MONTH(B43)+(DAY(B43)&gt;'Bills'!$C$7:$C$31),'Bills'!$C$7:$C$31)&lt;F43)*'Bills'!$D$7:$D$31))</f>
        <v/>
      </c>
      <c r="E43" s="21">
        <f>IF(B43="","",C43-D43)</f>
        <v/>
      </c>
      <c r="F43" s="35">
        <f>IF(B43="","",CHOOSE(MATCH($C$7,{"Weekly","Every 2 weeks","Twice a month","Monthly"},0),B43+7,B43+14,IF(DAY(B43)&lt;15,DATE(YEAR(B43),MONTH(B43),15),DATE(YEAR(B43),MONTH(B43)+1,1)),EDATE(B43,1)))</f>
        <v/>
      </c>
    </row>
    <row r="44">
      <c r="B44" s="34">
        <f>IF(F43="","",IF(F43&gt;DATE(Year,12,31),"",F43))</f>
        <v/>
      </c>
      <c r="C44" s="24">
        <f>IF(B44="","",$C$8)</f>
        <v/>
      </c>
      <c r="D44" s="20">
        <f>IF(B44="","",SUMPRODUCT(('Bills'!$C$7:$C$31&lt;&gt;"")*(DATE(YEAR(B44),MONTH(B44)+(DAY(B44)&gt;'Bills'!$C$7:$C$31),'Bills'!$C$7:$C$31)&lt;F44)*'Bills'!$D$7:$D$31))</f>
        <v/>
      </c>
      <c r="E44" s="21">
        <f>IF(B44="","",C44-D44)</f>
        <v/>
      </c>
      <c r="F44" s="35">
        <f>IF(B44="","",CHOOSE(MATCH($C$7,{"Weekly","Every 2 weeks","Twice a month","Monthly"},0),B44+7,B44+14,IF(DAY(B44)&lt;15,DATE(YEAR(B44),MONTH(B44),15),DATE(YEAR(B44),MONTH(B44)+1,1)),EDATE(B44,1)))</f>
        <v/>
      </c>
    </row>
    <row r="45">
      <c r="B45" s="34">
        <f>IF(F44="","",IF(F44&gt;DATE(Year,12,31),"",F44))</f>
        <v/>
      </c>
      <c r="C45" s="24">
        <f>IF(B45="","",$C$8)</f>
        <v/>
      </c>
      <c r="D45" s="20">
        <f>IF(B45="","",SUMPRODUCT(('Bills'!$C$7:$C$31&lt;&gt;"")*(DATE(YEAR(B45),MONTH(B45)+(DAY(B45)&gt;'Bills'!$C$7:$C$31),'Bills'!$C$7:$C$31)&lt;F45)*'Bills'!$D$7:$D$31))</f>
        <v/>
      </c>
      <c r="E45" s="21">
        <f>IF(B45="","",C45-D45)</f>
        <v/>
      </c>
      <c r="F45" s="35">
        <f>IF(B45="","",CHOOSE(MATCH($C$7,{"Weekly","Every 2 weeks","Twice a month","Monthly"},0),B45+7,B45+14,IF(DAY(B45)&lt;15,DATE(YEAR(B45),MONTH(B45),15),DATE(YEAR(B45),MONTH(B45)+1,1)),EDATE(B45,1)))</f>
        <v/>
      </c>
    </row>
    <row r="46">
      <c r="B46" s="34">
        <f>IF(F45="","",IF(F45&gt;DATE(Year,12,31),"",F45))</f>
        <v/>
      </c>
      <c r="C46" s="24">
        <f>IF(B46="","",$C$8)</f>
        <v/>
      </c>
      <c r="D46" s="20">
        <f>IF(B46="","",SUMPRODUCT(('Bills'!$C$7:$C$31&lt;&gt;"")*(DATE(YEAR(B46),MONTH(B46)+(DAY(B46)&gt;'Bills'!$C$7:$C$31),'Bills'!$C$7:$C$31)&lt;F46)*'Bills'!$D$7:$D$31))</f>
        <v/>
      </c>
      <c r="E46" s="21">
        <f>IF(B46="","",C46-D46)</f>
        <v/>
      </c>
      <c r="F46" s="35">
        <f>IF(B46="","",CHOOSE(MATCH($C$7,{"Weekly","Every 2 weeks","Twice a month","Monthly"},0),B46+7,B46+14,IF(DAY(B46)&lt;15,DATE(YEAR(B46),MONTH(B46),15),DATE(YEAR(B46),MONTH(B46)+1,1)),EDATE(B46,1)))</f>
        <v/>
      </c>
    </row>
    <row r="47">
      <c r="B47" s="34">
        <f>IF(F46="","",IF(F46&gt;DATE(Year,12,31),"",F46))</f>
        <v/>
      </c>
      <c r="C47" s="24">
        <f>IF(B47="","",$C$8)</f>
        <v/>
      </c>
      <c r="D47" s="20">
        <f>IF(B47="","",SUMPRODUCT(('Bills'!$C$7:$C$31&lt;&gt;"")*(DATE(YEAR(B47),MONTH(B47)+(DAY(B47)&gt;'Bills'!$C$7:$C$31),'Bills'!$C$7:$C$31)&lt;F47)*'Bills'!$D$7:$D$31))</f>
        <v/>
      </c>
      <c r="E47" s="21">
        <f>IF(B47="","",C47-D47)</f>
        <v/>
      </c>
      <c r="F47" s="35">
        <f>IF(B47="","",CHOOSE(MATCH($C$7,{"Weekly","Every 2 weeks","Twice a month","Monthly"},0),B47+7,B47+14,IF(DAY(B47)&lt;15,DATE(YEAR(B47),MONTH(B47),15),DATE(YEAR(B47),MONTH(B47)+1,1)),EDATE(B47,1)))</f>
        <v/>
      </c>
    </row>
    <row r="48">
      <c r="B48" s="34">
        <f>IF(F47="","",IF(F47&gt;DATE(Year,12,31),"",F47))</f>
        <v/>
      </c>
      <c r="C48" s="24">
        <f>IF(B48="","",$C$8)</f>
        <v/>
      </c>
      <c r="D48" s="20">
        <f>IF(B48="","",SUMPRODUCT(('Bills'!$C$7:$C$31&lt;&gt;"")*(DATE(YEAR(B48),MONTH(B48)+(DAY(B48)&gt;'Bills'!$C$7:$C$31),'Bills'!$C$7:$C$31)&lt;F48)*'Bills'!$D$7:$D$31))</f>
        <v/>
      </c>
      <c r="E48" s="21">
        <f>IF(B48="","",C48-D48)</f>
        <v/>
      </c>
      <c r="F48" s="35">
        <f>IF(B48="","",CHOOSE(MATCH($C$7,{"Weekly","Every 2 weeks","Twice a month","Monthly"},0),B48+7,B48+14,IF(DAY(B48)&lt;15,DATE(YEAR(B48),MONTH(B48),15),DATE(YEAR(B48),MONTH(B48)+1,1)),EDATE(B48,1)))</f>
        <v/>
      </c>
    </row>
    <row r="49">
      <c r="B49" s="34">
        <f>IF(F48="","",IF(F48&gt;DATE(Year,12,31),"",F48))</f>
        <v/>
      </c>
      <c r="C49" s="24">
        <f>IF(B49="","",$C$8)</f>
        <v/>
      </c>
      <c r="D49" s="20">
        <f>IF(B49="","",SUMPRODUCT(('Bills'!$C$7:$C$31&lt;&gt;"")*(DATE(YEAR(B49),MONTH(B49)+(DAY(B49)&gt;'Bills'!$C$7:$C$31),'Bills'!$C$7:$C$31)&lt;F49)*'Bills'!$D$7:$D$31))</f>
        <v/>
      </c>
      <c r="E49" s="21">
        <f>IF(B49="","",C49-D49)</f>
        <v/>
      </c>
      <c r="F49" s="35">
        <f>IF(B49="","",CHOOSE(MATCH($C$7,{"Weekly","Every 2 weeks","Twice a month","Monthly"},0),B49+7,B49+14,IF(DAY(B49)&lt;15,DATE(YEAR(B49),MONTH(B49),15),DATE(YEAR(B49),MONTH(B49)+1,1)),EDATE(B49,1)))</f>
        <v/>
      </c>
    </row>
    <row r="50">
      <c r="B50" s="34">
        <f>IF(F49="","",IF(F49&gt;DATE(Year,12,31),"",F49))</f>
        <v/>
      </c>
      <c r="C50" s="24">
        <f>IF(B50="","",$C$8)</f>
        <v/>
      </c>
      <c r="D50" s="20">
        <f>IF(B50="","",SUMPRODUCT(('Bills'!$C$7:$C$31&lt;&gt;"")*(DATE(YEAR(B50),MONTH(B50)+(DAY(B50)&gt;'Bills'!$C$7:$C$31),'Bills'!$C$7:$C$31)&lt;F50)*'Bills'!$D$7:$D$31))</f>
        <v/>
      </c>
      <c r="E50" s="21">
        <f>IF(B50="","",C50-D50)</f>
        <v/>
      </c>
      <c r="F50" s="35">
        <f>IF(B50="","",CHOOSE(MATCH($C$7,{"Weekly","Every 2 weeks","Twice a month","Monthly"},0),B50+7,B50+14,IF(DAY(B50)&lt;15,DATE(YEAR(B50),MONTH(B50),15),DATE(YEAR(B50),MONTH(B50)+1,1)),EDATE(B50,1)))</f>
        <v/>
      </c>
    </row>
    <row r="51">
      <c r="B51" s="34">
        <f>IF(F50="","",IF(F50&gt;DATE(Year,12,31),"",F50))</f>
        <v/>
      </c>
      <c r="C51" s="24">
        <f>IF(B51="","",$C$8)</f>
        <v/>
      </c>
      <c r="D51" s="20">
        <f>IF(B51="","",SUMPRODUCT(('Bills'!$C$7:$C$31&lt;&gt;"")*(DATE(YEAR(B51),MONTH(B51)+(DAY(B51)&gt;'Bills'!$C$7:$C$31),'Bills'!$C$7:$C$31)&lt;F51)*'Bills'!$D$7:$D$31))</f>
        <v/>
      </c>
      <c r="E51" s="21">
        <f>IF(B51="","",C51-D51)</f>
        <v/>
      </c>
      <c r="F51" s="35">
        <f>IF(B51="","",CHOOSE(MATCH($C$7,{"Weekly","Every 2 weeks","Twice a month","Monthly"},0),B51+7,B51+14,IF(DAY(B51)&lt;15,DATE(YEAR(B51),MONTH(B51),15),DATE(YEAR(B51),MONTH(B51)+1,1)),EDATE(B51,1)))</f>
        <v/>
      </c>
    </row>
    <row r="52">
      <c r="B52" s="34">
        <f>IF(F51="","",IF(F51&gt;DATE(Year,12,31),"",F51))</f>
        <v/>
      </c>
      <c r="C52" s="24">
        <f>IF(B52="","",$C$8)</f>
        <v/>
      </c>
      <c r="D52" s="20">
        <f>IF(B52="","",SUMPRODUCT(('Bills'!$C$7:$C$31&lt;&gt;"")*(DATE(YEAR(B52),MONTH(B52)+(DAY(B52)&gt;'Bills'!$C$7:$C$31),'Bills'!$C$7:$C$31)&lt;F52)*'Bills'!$D$7:$D$31))</f>
        <v/>
      </c>
      <c r="E52" s="21">
        <f>IF(B52="","",C52-D52)</f>
        <v/>
      </c>
      <c r="F52" s="35">
        <f>IF(B52="","",CHOOSE(MATCH($C$7,{"Weekly","Every 2 weeks","Twice a month","Monthly"},0),B52+7,B52+14,IF(DAY(B52)&lt;15,DATE(YEAR(B52),MONTH(B52),15),DATE(YEAR(B52),MONTH(B52)+1,1)),EDATE(B52,1)))</f>
        <v/>
      </c>
    </row>
    <row r="53">
      <c r="B53" s="34">
        <f>IF(F52="","",IF(F52&gt;DATE(Year,12,31),"",F52))</f>
        <v/>
      </c>
      <c r="C53" s="24">
        <f>IF(B53="","",$C$8)</f>
        <v/>
      </c>
      <c r="D53" s="20">
        <f>IF(B53="","",SUMPRODUCT(('Bills'!$C$7:$C$31&lt;&gt;"")*(DATE(YEAR(B53),MONTH(B53)+(DAY(B53)&gt;'Bills'!$C$7:$C$31),'Bills'!$C$7:$C$31)&lt;F53)*'Bills'!$D$7:$D$31))</f>
        <v/>
      </c>
      <c r="E53" s="21">
        <f>IF(B53="","",C53-D53)</f>
        <v/>
      </c>
      <c r="F53" s="35">
        <f>IF(B53="","",CHOOSE(MATCH($C$7,{"Weekly","Every 2 weeks","Twice a month","Monthly"},0),B53+7,B53+14,IF(DAY(B53)&lt;15,DATE(YEAR(B53),MONTH(B53),15),DATE(YEAR(B53),MONTH(B53)+1,1)),EDATE(B53,1)))</f>
        <v/>
      </c>
    </row>
    <row r="54">
      <c r="B54" s="34">
        <f>IF(F53="","",IF(F53&gt;DATE(Year,12,31),"",F53))</f>
        <v/>
      </c>
      <c r="C54" s="24">
        <f>IF(B54="","",$C$8)</f>
        <v/>
      </c>
      <c r="D54" s="20">
        <f>IF(B54="","",SUMPRODUCT(('Bills'!$C$7:$C$31&lt;&gt;"")*(DATE(YEAR(B54),MONTH(B54)+(DAY(B54)&gt;'Bills'!$C$7:$C$31),'Bills'!$C$7:$C$31)&lt;F54)*'Bills'!$D$7:$D$31))</f>
        <v/>
      </c>
      <c r="E54" s="21">
        <f>IF(B54="","",C54-D54)</f>
        <v/>
      </c>
      <c r="F54" s="35">
        <f>IF(B54="","",CHOOSE(MATCH($C$7,{"Weekly","Every 2 weeks","Twice a month","Monthly"},0),B54+7,B54+14,IF(DAY(B54)&lt;15,DATE(YEAR(B54),MONTH(B54),15),DATE(YEAR(B54),MONTH(B54)+1,1)),EDATE(B54,1)))</f>
        <v/>
      </c>
    </row>
    <row r="55">
      <c r="B55" s="34">
        <f>IF(F54="","",IF(F54&gt;DATE(Year,12,31),"",F54))</f>
        <v/>
      </c>
      <c r="C55" s="24">
        <f>IF(B55="","",$C$8)</f>
        <v/>
      </c>
      <c r="D55" s="20">
        <f>IF(B55="","",SUMPRODUCT(('Bills'!$C$7:$C$31&lt;&gt;"")*(DATE(YEAR(B55),MONTH(B55)+(DAY(B55)&gt;'Bills'!$C$7:$C$31),'Bills'!$C$7:$C$31)&lt;F55)*'Bills'!$D$7:$D$31))</f>
        <v/>
      </c>
      <c r="E55" s="21">
        <f>IF(B55="","",C55-D55)</f>
        <v/>
      </c>
      <c r="F55" s="35">
        <f>IF(B55="","",CHOOSE(MATCH($C$7,{"Weekly","Every 2 weeks","Twice a month","Monthly"},0),B55+7,B55+14,IF(DAY(B55)&lt;15,DATE(YEAR(B55),MONTH(B55),15),DATE(YEAR(B55),MONTH(B55)+1,1)),EDATE(B55,1)))</f>
        <v/>
      </c>
    </row>
    <row r="56">
      <c r="B56" s="34">
        <f>IF(F55="","",IF(F55&gt;DATE(Year,12,31),"",F55))</f>
        <v/>
      </c>
      <c r="C56" s="24">
        <f>IF(B56="","",$C$8)</f>
        <v/>
      </c>
      <c r="D56" s="20">
        <f>IF(B56="","",SUMPRODUCT(('Bills'!$C$7:$C$31&lt;&gt;"")*(DATE(YEAR(B56),MONTH(B56)+(DAY(B56)&gt;'Bills'!$C$7:$C$31),'Bills'!$C$7:$C$31)&lt;F56)*'Bills'!$D$7:$D$31))</f>
        <v/>
      </c>
      <c r="E56" s="21">
        <f>IF(B56="","",C56-D56)</f>
        <v/>
      </c>
      <c r="F56" s="35">
        <f>IF(B56="","",CHOOSE(MATCH($C$7,{"Weekly","Every 2 weeks","Twice a month","Monthly"},0),B56+7,B56+14,IF(DAY(B56)&lt;15,DATE(YEAR(B56),MONTH(B56),15),DATE(YEAR(B56),MONTH(B56)+1,1)),EDATE(B56,1)))</f>
        <v/>
      </c>
    </row>
    <row r="57">
      <c r="B57" s="34">
        <f>IF(F56="","",IF(F56&gt;DATE(Year,12,31),"",F56))</f>
        <v/>
      </c>
      <c r="C57" s="24">
        <f>IF(B57="","",$C$8)</f>
        <v/>
      </c>
      <c r="D57" s="20">
        <f>IF(B57="","",SUMPRODUCT(('Bills'!$C$7:$C$31&lt;&gt;"")*(DATE(YEAR(B57),MONTH(B57)+(DAY(B57)&gt;'Bills'!$C$7:$C$31),'Bills'!$C$7:$C$31)&lt;F57)*'Bills'!$D$7:$D$31))</f>
        <v/>
      </c>
      <c r="E57" s="21">
        <f>IF(B57="","",C57-D57)</f>
        <v/>
      </c>
      <c r="F57" s="35">
        <f>IF(B57="","",CHOOSE(MATCH($C$7,{"Weekly","Every 2 weeks","Twice a month","Monthly"},0),B57+7,B57+14,IF(DAY(B57)&lt;15,DATE(YEAR(B57),MONTH(B57),15),DATE(YEAR(B57),MONTH(B57)+1,1)),EDATE(B57,1)))</f>
        <v/>
      </c>
    </row>
    <row r="58">
      <c r="B58" s="34">
        <f>IF(F57="","",IF(F57&gt;DATE(Year,12,31),"",F57))</f>
        <v/>
      </c>
      <c r="C58" s="24">
        <f>IF(B58="","",$C$8)</f>
        <v/>
      </c>
      <c r="D58" s="20">
        <f>IF(B58="","",SUMPRODUCT(('Bills'!$C$7:$C$31&lt;&gt;"")*(DATE(YEAR(B58),MONTH(B58)+(DAY(B58)&gt;'Bills'!$C$7:$C$31),'Bills'!$C$7:$C$31)&lt;F58)*'Bills'!$D$7:$D$31))</f>
        <v/>
      </c>
      <c r="E58" s="21">
        <f>IF(B58="","",C58-D58)</f>
        <v/>
      </c>
      <c r="F58" s="35">
        <f>IF(B58="","",CHOOSE(MATCH($C$7,{"Weekly","Every 2 weeks","Twice a month","Monthly"},0),B58+7,B58+14,IF(DAY(B58)&lt;15,DATE(YEAR(B58),MONTH(B58),15),DATE(YEAR(B58),MONTH(B58)+1,1)),EDATE(B58,1)))</f>
        <v/>
      </c>
    </row>
    <row r="59">
      <c r="B59" s="34">
        <f>IF(F58="","",IF(F58&gt;DATE(Year,12,31),"",F58))</f>
        <v/>
      </c>
      <c r="C59" s="24">
        <f>IF(B59="","",$C$8)</f>
        <v/>
      </c>
      <c r="D59" s="20">
        <f>IF(B59="","",SUMPRODUCT(('Bills'!$C$7:$C$31&lt;&gt;"")*(DATE(YEAR(B59),MONTH(B59)+(DAY(B59)&gt;'Bills'!$C$7:$C$31),'Bills'!$C$7:$C$31)&lt;F59)*'Bills'!$D$7:$D$31))</f>
        <v/>
      </c>
      <c r="E59" s="21">
        <f>IF(B59="","",C59-D59)</f>
        <v/>
      </c>
      <c r="F59" s="35">
        <f>IF(B59="","",CHOOSE(MATCH($C$7,{"Weekly","Every 2 weeks","Twice a month","Monthly"},0),B59+7,B59+14,IF(DAY(B59)&lt;15,DATE(YEAR(B59),MONTH(B59),15),DATE(YEAR(B59),MONTH(B59)+1,1)),EDATE(B59,1)))</f>
        <v/>
      </c>
    </row>
    <row r="60">
      <c r="B60" s="34">
        <f>IF(F59="","",IF(F59&gt;DATE(Year,12,31),"",F59))</f>
        <v/>
      </c>
      <c r="C60" s="24">
        <f>IF(B60="","",$C$8)</f>
        <v/>
      </c>
      <c r="D60" s="20">
        <f>IF(B60="","",SUMPRODUCT(('Bills'!$C$7:$C$31&lt;&gt;"")*(DATE(YEAR(B60),MONTH(B60)+(DAY(B60)&gt;'Bills'!$C$7:$C$31),'Bills'!$C$7:$C$31)&lt;F60)*'Bills'!$D$7:$D$31))</f>
        <v/>
      </c>
      <c r="E60" s="21">
        <f>IF(B60="","",C60-D60)</f>
        <v/>
      </c>
      <c r="F60" s="35">
        <f>IF(B60="","",CHOOSE(MATCH($C$7,{"Weekly","Every 2 weeks","Twice a month","Monthly"},0),B60+7,B60+14,IF(DAY(B60)&lt;15,DATE(YEAR(B60),MONTH(B60),15),DATE(YEAR(B60),MONTH(B60)+1,1)),EDATE(B60,1)))</f>
        <v/>
      </c>
    </row>
    <row r="61">
      <c r="B61" s="34">
        <f>IF(F60="","",IF(F60&gt;DATE(Year,12,31),"",F60))</f>
        <v/>
      </c>
      <c r="C61" s="24">
        <f>IF(B61="","",$C$8)</f>
        <v/>
      </c>
      <c r="D61" s="20">
        <f>IF(B61="","",SUMPRODUCT(('Bills'!$C$7:$C$31&lt;&gt;"")*(DATE(YEAR(B61),MONTH(B61)+(DAY(B61)&gt;'Bills'!$C$7:$C$31),'Bills'!$C$7:$C$31)&lt;F61)*'Bills'!$D$7:$D$31))</f>
        <v/>
      </c>
      <c r="E61" s="21">
        <f>IF(B61="","",C61-D61)</f>
        <v/>
      </c>
      <c r="F61" s="35">
        <f>IF(B61="","",CHOOSE(MATCH($C$7,{"Weekly","Every 2 weeks","Twice a month","Monthly"},0),B61+7,B61+14,IF(DAY(B61)&lt;15,DATE(YEAR(B61),MONTH(B61),15),DATE(YEAR(B61),MONTH(B61)+1,1)),EDATE(B61,1)))</f>
        <v/>
      </c>
    </row>
    <row r="62">
      <c r="B62" s="34">
        <f>IF(F61="","",IF(F61&gt;DATE(Year,12,31),"",F61))</f>
        <v/>
      </c>
      <c r="C62" s="24">
        <f>IF(B62="","",$C$8)</f>
        <v/>
      </c>
      <c r="D62" s="20">
        <f>IF(B62="","",SUMPRODUCT(('Bills'!$C$7:$C$31&lt;&gt;"")*(DATE(YEAR(B62),MONTH(B62)+(DAY(B62)&gt;'Bills'!$C$7:$C$31),'Bills'!$C$7:$C$31)&lt;F62)*'Bills'!$D$7:$D$31))</f>
        <v/>
      </c>
      <c r="E62" s="21">
        <f>IF(B62="","",C62-D62)</f>
        <v/>
      </c>
      <c r="F62" s="35">
        <f>IF(B62="","",CHOOSE(MATCH($C$7,{"Weekly","Every 2 weeks","Twice a month","Monthly"},0),B62+7,B62+14,IF(DAY(B62)&lt;15,DATE(YEAR(B62),MONTH(B62),15),DATE(YEAR(B62),MONTH(B62)+1,1)),EDATE(B62,1)))</f>
        <v/>
      </c>
    </row>
    <row r="63">
      <c r="B63" s="34">
        <f>IF(F62="","",IF(F62&gt;DATE(Year,12,31),"",F62))</f>
        <v/>
      </c>
      <c r="C63" s="24">
        <f>IF(B63="","",$C$8)</f>
        <v/>
      </c>
      <c r="D63" s="20">
        <f>IF(B63="","",SUMPRODUCT(('Bills'!$C$7:$C$31&lt;&gt;"")*(DATE(YEAR(B63),MONTH(B63)+(DAY(B63)&gt;'Bills'!$C$7:$C$31),'Bills'!$C$7:$C$31)&lt;F63)*'Bills'!$D$7:$D$31))</f>
        <v/>
      </c>
      <c r="E63" s="21">
        <f>IF(B63="","",C63-D63)</f>
        <v/>
      </c>
      <c r="F63" s="35">
        <f>IF(B63="","",CHOOSE(MATCH($C$7,{"Weekly","Every 2 weeks","Twice a month","Monthly"},0),B63+7,B63+14,IF(DAY(B63)&lt;15,DATE(YEAR(B63),MONTH(B63),15),DATE(YEAR(B63),MONTH(B63)+1,1)),EDATE(B63,1)))</f>
        <v/>
      </c>
    </row>
    <row r="64">
      <c r="B64" s="34">
        <f>IF(F63="","",IF(F63&gt;DATE(Year,12,31),"",F63))</f>
        <v/>
      </c>
      <c r="C64" s="24">
        <f>IF(B64="","",$C$8)</f>
        <v/>
      </c>
      <c r="D64" s="20">
        <f>IF(B64="","",SUMPRODUCT(('Bills'!$C$7:$C$31&lt;&gt;"")*(DATE(YEAR(B64),MONTH(B64)+(DAY(B64)&gt;'Bills'!$C$7:$C$31),'Bills'!$C$7:$C$31)&lt;F64)*'Bills'!$D$7:$D$31))</f>
        <v/>
      </c>
      <c r="E64" s="21">
        <f>IF(B64="","",C64-D64)</f>
        <v/>
      </c>
      <c r="F64" s="35">
        <f>IF(B64="","",CHOOSE(MATCH($C$7,{"Weekly","Every 2 weeks","Twice a month","Monthly"},0),B64+7,B64+14,IF(DAY(B64)&lt;15,DATE(YEAR(B64),MONTH(B64),15),DATE(YEAR(B64),MONTH(B64)+1,1)),EDATE(B64,1)))</f>
        <v/>
      </c>
    </row>
  </sheetData>
  <sheetProtection selectLockedCells="0" selectUnlockedCells="0" sheet="1" objects="0" insertRows="0" insertHyperlinks="1" autoFilter="0" scenarios="0" formatColumns="0" deleteColumns="1" insertColumns="1" pivotTables="1" deleteRows="1" formatCells="1" formatRows="0" sort="0"/>
  <conditionalFormatting sqref="E11:E64">
    <cfRule type="cellIs" priority="1" operator="lessThan" dxfId="1">
      <formula>0</formula>
    </cfRule>
  </conditionalFormatting>
  <dataValidations count="1">
    <dataValidation sqref="C7" showDropDown="0" showInputMessage="0" showErrorMessage="0" allowBlank="0" type="list">
      <formula1>"Weekly,Every 2 weeks,Twice a month,Monthly"</formula1>
    </dataValidation>
  </dataValidations>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s>
  <printOptions gridLines="0"/>
  <pageMargins left="0.75" right="0.75" top="1" bottom="1" header="0.5" footer="0.5"/>
  <pageSetup orientation="landscape" fitToHeight="1" fitToWidth="1"/>
</worksheet>
</file>

<file path=xl/worksheets/sheet18.xml><?xml version="1.0" encoding="utf-8"?>
<worksheet xmlns="http://schemas.openxmlformats.org/spreadsheetml/2006/main">
  <sheetPr>
    <tabColor rgb="005E6B78"/>
    <outlinePr summaryBelow="1" summaryRight="1"/>
    <pageSetUpPr fitToPage="1"/>
  </sheetPr>
  <dimension ref="B2:J20"/>
  <sheetViews>
    <sheetView showGridLines="0" workbookViewId="0">
      <pane ySplit="9" topLeftCell="A10" activePane="bottomLeft" state="frozen"/>
      <selection pane="bottomLeft" activeCell="A1" sqref="A1"/>
    </sheetView>
  </sheetViews>
  <sheetFormatPr baseColWidth="8" defaultRowHeight="15"/>
  <cols>
    <col width="3" customWidth="1" min="1" max="1"/>
    <col width="24" customWidth="1" min="2" max="2"/>
    <col width="14" customWidth="1" min="3" max="3"/>
    <col width="12" customWidth="1" min="4" max="4"/>
    <col width="12" customWidth="1" min="5" max="5"/>
    <col width="11" customWidth="1" min="6" max="6"/>
    <col width="16" customWidth="1" min="7" max="7"/>
    <col width="18" customWidth="1" min="8" max="8"/>
    <col width="16" customWidth="1" min="9" max="9"/>
    <col width="16"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Debt payoff</t>
        </is>
      </c>
    </row>
    <row r="3">
      <c r="B3" s="2" t="inlineStr">
        <is>
          <t>List your debts. The order and timelines update as you pay.</t>
        </is>
      </c>
    </row>
    <row r="4">
      <c r="B4" s="3" t="inlineStr">
        <is>
          <t>Start here</t>
        </is>
      </c>
      <c r="C4" s="3" t="inlineStr">
        <is>
          <t>Dashboard</t>
        </is>
      </c>
      <c r="D4" s="3" t="inlineStr">
        <is>
          <t>Setup</t>
        </is>
      </c>
      <c r="E4" s="3" t="inlineStr">
        <is>
          <t>Months</t>
        </is>
      </c>
      <c r="F4" s="3" t="inlineStr">
        <is>
          <t>Bills</t>
        </is>
      </c>
      <c r="G4" s="3" t="inlineStr">
        <is>
          <t>Paycheck</t>
        </is>
      </c>
      <c r="H4" s="3" t="inlineStr">
        <is>
          <t>Debt</t>
        </is>
      </c>
      <c r="I4" s="3" t="inlineStr">
        <is>
          <t>Savings</t>
        </is>
      </c>
    </row>
    <row r="6">
      <c r="B6" s="17" t="inlineStr">
        <is>
          <t>Method</t>
        </is>
      </c>
      <c r="C6" s="15" t="inlineStr">
        <is>
          <t>Snowball</t>
        </is>
      </c>
    </row>
    <row r="7">
      <c r="B7" s="17" t="inlineStr">
        <is>
          <t>Extra each month</t>
        </is>
      </c>
      <c r="C7" s="24" t="n">
        <v>100</v>
      </c>
      <c r="D7" s="26" t="inlineStr">
        <is>
          <t>Goes to the debt that is first in pay order.</t>
        </is>
      </c>
    </row>
    <row r="9" ht="34" customHeight="1">
      <c r="B9" s="9" t="inlineStr">
        <is>
          <t>Debt</t>
        </is>
      </c>
      <c r="C9" s="9" t="inlineStr">
        <is>
          <t>Balance</t>
        </is>
      </c>
      <c r="D9" s="9" t="inlineStr">
        <is>
          <t>Rate (APR)</t>
        </is>
      </c>
      <c r="E9" s="9" t="inlineStr">
        <is>
          <t>Minimum</t>
        </is>
      </c>
      <c r="F9" s="9" t="inlineStr">
        <is>
          <t>Pay order</t>
        </is>
      </c>
      <c r="G9" s="9" t="inlineStr">
        <is>
          <t>Months at minimum</t>
        </is>
      </c>
      <c r="H9" s="9" t="inlineStr">
        <is>
          <t>Interest at minimum</t>
        </is>
      </c>
      <c r="I9" s="9" t="inlineStr">
        <is>
          <t>Months with extra</t>
        </is>
      </c>
      <c r="J9" s="9" t="inlineStr">
        <is>
          <t>Interest saved</t>
        </is>
      </c>
    </row>
    <row r="10">
      <c r="B10" s="15" t="inlineStr">
        <is>
          <t>Credit card</t>
        </is>
      </c>
      <c r="C10" s="24" t="n">
        <v>2400</v>
      </c>
      <c r="D10" s="36" t="n">
        <v>0.2299</v>
      </c>
      <c r="E10" s="24" t="n">
        <v>75</v>
      </c>
      <c r="F10" s="37">
        <f>IF(C10="","",IF($C$6="Snowball",COUNTIFS($C$10:$C$19,"&lt;"&amp;C10,$C$10:$C$19,"&lt;&gt;")+1,COUNTIFS($D$10:$D$19,"&gt;"&amp;D10,$C$10:$C$19,"&lt;&gt;")+1))</f>
        <v/>
      </c>
      <c r="G10" s="37">
        <f>IF(OR(C10="",E10=""),"",IFERROR(ROUNDUP(NPER(D10/12,-E10,C10),0),"never: raise the minimum"))</f>
        <v/>
      </c>
      <c r="H10" s="20">
        <f>IF(OR(C10="",E10="",NOT(ISNUMBER(G10))),"",G10*E10-C10)</f>
        <v/>
      </c>
      <c r="I10" s="37">
        <f>IF(OR(C10="",E10="",F10&lt;&gt;1),"",IFERROR(ROUNDUP(NPER(D10/12,-(E10+$C$7),C10),0),""))</f>
        <v/>
      </c>
      <c r="J10" s="20">
        <f>IF(OR(I10="",NOT(ISNUMBER(H10))),"",MAX(0,H10-(I10*(E10+$C$7)-C10)))</f>
        <v/>
      </c>
    </row>
    <row r="11">
      <c r="B11" s="15" t="inlineStr">
        <is>
          <t>Car loan</t>
        </is>
      </c>
      <c r="C11" s="24" t="n">
        <v>8200</v>
      </c>
      <c r="D11" s="36" t="n">
        <v>0.06900000000000001</v>
      </c>
      <c r="E11" s="24" t="n">
        <v>210</v>
      </c>
      <c r="F11" s="37">
        <f>IF(C11="","",IF($C$6="Snowball",COUNTIFS($C$10:$C$19,"&lt;"&amp;C11,$C$10:$C$19,"&lt;&gt;")+1,COUNTIFS($D$10:$D$19,"&gt;"&amp;D11,$C$10:$C$19,"&lt;&gt;")+1))</f>
        <v/>
      </c>
      <c r="G11" s="37">
        <f>IF(OR(C11="",E11=""),"",IFERROR(ROUNDUP(NPER(D11/12,-E11,C11),0),"never: raise the minimum"))</f>
        <v/>
      </c>
      <c r="H11" s="20">
        <f>IF(OR(C11="",E11="",NOT(ISNUMBER(G11))),"",G11*E11-C11)</f>
        <v/>
      </c>
      <c r="I11" s="37">
        <f>IF(OR(C11="",E11="",F11&lt;&gt;1),"",IFERROR(ROUNDUP(NPER(D11/12,-(E11+$C$7),C11),0),""))</f>
        <v/>
      </c>
      <c r="J11" s="20">
        <f>IF(OR(I11="",NOT(ISNUMBER(H11))),"",MAX(0,H11-(I11*(E11+$C$7)-C11)))</f>
        <v/>
      </c>
    </row>
    <row r="12">
      <c r="B12" s="15" t="inlineStr">
        <is>
          <t>Student loan</t>
        </is>
      </c>
      <c r="C12" s="24" t="n">
        <v>14500</v>
      </c>
      <c r="D12" s="36" t="n">
        <v>0.055</v>
      </c>
      <c r="E12" s="24" t="n">
        <v>180</v>
      </c>
      <c r="F12" s="37">
        <f>IF(C12="","",IF($C$6="Snowball",COUNTIFS($C$10:$C$19,"&lt;"&amp;C12,$C$10:$C$19,"&lt;&gt;")+1,COUNTIFS($D$10:$D$19,"&gt;"&amp;D12,$C$10:$C$19,"&lt;&gt;")+1))</f>
        <v/>
      </c>
      <c r="G12" s="37">
        <f>IF(OR(C12="",E12=""),"",IFERROR(ROUNDUP(NPER(D12/12,-E12,C12),0),"never: raise the minimum"))</f>
        <v/>
      </c>
      <c r="H12" s="20">
        <f>IF(OR(C12="",E12="",NOT(ISNUMBER(G12))),"",G12*E12-C12)</f>
        <v/>
      </c>
      <c r="I12" s="37">
        <f>IF(OR(C12="",E12="",F12&lt;&gt;1),"",IFERROR(ROUNDUP(NPER(D12/12,-(E12+$C$7),C12),0),""))</f>
        <v/>
      </c>
      <c r="J12" s="20">
        <f>IF(OR(I12="",NOT(ISNUMBER(H12))),"",MAX(0,H12-(I12*(E12+$C$7)-C12)))</f>
        <v/>
      </c>
    </row>
    <row r="13">
      <c r="B13" s="15" t="n"/>
      <c r="C13" s="24" t="n"/>
      <c r="D13" s="36" t="n"/>
      <c r="E13" s="24" t="n"/>
      <c r="F13" s="37">
        <f>IF(C13="","",IF($C$6="Snowball",COUNTIFS($C$10:$C$19,"&lt;"&amp;C13,$C$10:$C$19,"&lt;&gt;")+1,COUNTIFS($D$10:$D$19,"&gt;"&amp;D13,$C$10:$C$19,"&lt;&gt;")+1))</f>
        <v/>
      </c>
      <c r="G13" s="37">
        <f>IF(OR(C13="",E13=""),"",IFERROR(ROUNDUP(NPER(D13/12,-E13,C13),0),"never: raise the minimum"))</f>
        <v/>
      </c>
      <c r="H13" s="20">
        <f>IF(OR(C13="",E13="",NOT(ISNUMBER(G13))),"",G13*E13-C13)</f>
        <v/>
      </c>
      <c r="I13" s="37">
        <f>IF(OR(C13="",E13="",F13&lt;&gt;1),"",IFERROR(ROUNDUP(NPER(D13/12,-(E13+$C$7),C13),0),""))</f>
        <v/>
      </c>
      <c r="J13" s="20">
        <f>IF(OR(I13="",NOT(ISNUMBER(H13))),"",MAX(0,H13-(I13*(E13+$C$7)-C13)))</f>
        <v/>
      </c>
    </row>
    <row r="14">
      <c r="B14" s="15" t="n"/>
      <c r="C14" s="24" t="n"/>
      <c r="D14" s="36" t="n"/>
      <c r="E14" s="24" t="n"/>
      <c r="F14" s="37">
        <f>IF(C14="","",IF($C$6="Snowball",COUNTIFS($C$10:$C$19,"&lt;"&amp;C14,$C$10:$C$19,"&lt;&gt;")+1,COUNTIFS($D$10:$D$19,"&gt;"&amp;D14,$C$10:$C$19,"&lt;&gt;")+1))</f>
        <v/>
      </c>
      <c r="G14" s="37">
        <f>IF(OR(C14="",E14=""),"",IFERROR(ROUNDUP(NPER(D14/12,-E14,C14),0),"never: raise the minimum"))</f>
        <v/>
      </c>
      <c r="H14" s="20">
        <f>IF(OR(C14="",E14="",NOT(ISNUMBER(G14))),"",G14*E14-C14)</f>
        <v/>
      </c>
      <c r="I14" s="37">
        <f>IF(OR(C14="",E14="",F14&lt;&gt;1),"",IFERROR(ROUNDUP(NPER(D14/12,-(E14+$C$7),C14),0),""))</f>
        <v/>
      </c>
      <c r="J14" s="20">
        <f>IF(OR(I14="",NOT(ISNUMBER(H14))),"",MAX(0,H14-(I14*(E14+$C$7)-C14)))</f>
        <v/>
      </c>
    </row>
    <row r="15">
      <c r="B15" s="15" t="n"/>
      <c r="C15" s="24" t="n"/>
      <c r="D15" s="36" t="n"/>
      <c r="E15" s="24" t="n"/>
      <c r="F15" s="37">
        <f>IF(C15="","",IF($C$6="Snowball",COUNTIFS($C$10:$C$19,"&lt;"&amp;C15,$C$10:$C$19,"&lt;&gt;")+1,COUNTIFS($D$10:$D$19,"&gt;"&amp;D15,$C$10:$C$19,"&lt;&gt;")+1))</f>
        <v/>
      </c>
      <c r="G15" s="37">
        <f>IF(OR(C15="",E15=""),"",IFERROR(ROUNDUP(NPER(D15/12,-E15,C15),0),"never: raise the minimum"))</f>
        <v/>
      </c>
      <c r="H15" s="20">
        <f>IF(OR(C15="",E15="",NOT(ISNUMBER(G15))),"",G15*E15-C15)</f>
        <v/>
      </c>
      <c r="I15" s="37">
        <f>IF(OR(C15="",E15="",F15&lt;&gt;1),"",IFERROR(ROUNDUP(NPER(D15/12,-(E15+$C$7),C15),0),""))</f>
        <v/>
      </c>
      <c r="J15" s="20">
        <f>IF(OR(I15="",NOT(ISNUMBER(H15))),"",MAX(0,H15-(I15*(E15+$C$7)-C15)))</f>
        <v/>
      </c>
    </row>
    <row r="16">
      <c r="B16" s="15" t="n"/>
      <c r="C16" s="24" t="n"/>
      <c r="D16" s="36" t="n"/>
      <c r="E16" s="24" t="n"/>
      <c r="F16" s="37">
        <f>IF(C16="","",IF($C$6="Snowball",COUNTIFS($C$10:$C$19,"&lt;"&amp;C16,$C$10:$C$19,"&lt;&gt;")+1,COUNTIFS($D$10:$D$19,"&gt;"&amp;D16,$C$10:$C$19,"&lt;&gt;")+1))</f>
        <v/>
      </c>
      <c r="G16" s="37">
        <f>IF(OR(C16="",E16=""),"",IFERROR(ROUNDUP(NPER(D16/12,-E16,C16),0),"never: raise the minimum"))</f>
        <v/>
      </c>
      <c r="H16" s="20">
        <f>IF(OR(C16="",E16="",NOT(ISNUMBER(G16))),"",G16*E16-C16)</f>
        <v/>
      </c>
      <c r="I16" s="37">
        <f>IF(OR(C16="",E16="",F16&lt;&gt;1),"",IFERROR(ROUNDUP(NPER(D16/12,-(E16+$C$7),C16),0),""))</f>
        <v/>
      </c>
      <c r="J16" s="20">
        <f>IF(OR(I16="",NOT(ISNUMBER(H16))),"",MAX(0,H16-(I16*(E16+$C$7)-C16)))</f>
        <v/>
      </c>
    </row>
    <row r="17">
      <c r="B17" s="15" t="n"/>
      <c r="C17" s="24" t="n"/>
      <c r="D17" s="36" t="n"/>
      <c r="E17" s="24" t="n"/>
      <c r="F17" s="37">
        <f>IF(C17="","",IF($C$6="Snowball",COUNTIFS($C$10:$C$19,"&lt;"&amp;C17,$C$10:$C$19,"&lt;&gt;")+1,COUNTIFS($D$10:$D$19,"&gt;"&amp;D17,$C$10:$C$19,"&lt;&gt;")+1))</f>
        <v/>
      </c>
      <c r="G17" s="37">
        <f>IF(OR(C17="",E17=""),"",IFERROR(ROUNDUP(NPER(D17/12,-E17,C17),0),"never: raise the minimum"))</f>
        <v/>
      </c>
      <c r="H17" s="20">
        <f>IF(OR(C17="",E17="",NOT(ISNUMBER(G17))),"",G17*E17-C17)</f>
        <v/>
      </c>
      <c r="I17" s="37">
        <f>IF(OR(C17="",E17="",F17&lt;&gt;1),"",IFERROR(ROUNDUP(NPER(D17/12,-(E17+$C$7),C17),0),""))</f>
        <v/>
      </c>
      <c r="J17" s="20">
        <f>IF(OR(I17="",NOT(ISNUMBER(H17))),"",MAX(0,H17-(I17*(E17+$C$7)-C17)))</f>
        <v/>
      </c>
    </row>
    <row r="18">
      <c r="B18" s="15" t="n"/>
      <c r="C18" s="24" t="n"/>
      <c r="D18" s="36" t="n"/>
      <c r="E18" s="24" t="n"/>
      <c r="F18" s="37">
        <f>IF(C18="","",IF($C$6="Snowball",COUNTIFS($C$10:$C$19,"&lt;"&amp;C18,$C$10:$C$19,"&lt;&gt;")+1,COUNTIFS($D$10:$D$19,"&gt;"&amp;D18,$C$10:$C$19,"&lt;&gt;")+1))</f>
        <v/>
      </c>
      <c r="G18" s="37">
        <f>IF(OR(C18="",E18=""),"",IFERROR(ROUNDUP(NPER(D18/12,-E18,C18),0),"never: raise the minimum"))</f>
        <v/>
      </c>
      <c r="H18" s="20">
        <f>IF(OR(C18="",E18="",NOT(ISNUMBER(G18))),"",G18*E18-C18)</f>
        <v/>
      </c>
      <c r="I18" s="37">
        <f>IF(OR(C18="",E18="",F18&lt;&gt;1),"",IFERROR(ROUNDUP(NPER(D18/12,-(E18+$C$7),C18),0),""))</f>
        <v/>
      </c>
      <c r="J18" s="20">
        <f>IF(OR(I18="",NOT(ISNUMBER(H18))),"",MAX(0,H18-(I18*(E18+$C$7)-C18)))</f>
        <v/>
      </c>
    </row>
    <row r="19">
      <c r="B19" s="15" t="n"/>
      <c r="C19" s="24" t="n"/>
      <c r="D19" s="36" t="n"/>
      <c r="E19" s="24" t="n"/>
      <c r="F19" s="37">
        <f>IF(C19="","",IF($C$6="Snowball",COUNTIFS($C$10:$C$19,"&lt;"&amp;C19,$C$10:$C$19,"&lt;&gt;")+1,COUNTIFS($D$10:$D$19,"&gt;"&amp;D19,$C$10:$C$19,"&lt;&gt;")+1))</f>
        <v/>
      </c>
      <c r="G19" s="37">
        <f>IF(OR(C19="",E19=""),"",IFERROR(ROUNDUP(NPER(D19/12,-E19,C19),0),"never: raise the minimum"))</f>
        <v/>
      </c>
      <c r="H19" s="20">
        <f>IF(OR(C19="",E19="",NOT(ISNUMBER(G19))),"",G19*E19-C19)</f>
        <v/>
      </c>
      <c r="I19" s="37">
        <f>IF(OR(C19="",E19="",F19&lt;&gt;1),"",IFERROR(ROUNDUP(NPER(D19/12,-(E19+$C$7),C19),0),""))</f>
        <v/>
      </c>
      <c r="J19" s="20">
        <f>IF(OR(I19="",NOT(ISNUMBER(H19))),"",MAX(0,H19-(I19*(E19+$C$7)-C19)))</f>
        <v/>
      </c>
    </row>
    <row r="20">
      <c r="B20" s="17" t="inlineStr">
        <is>
          <t>Total</t>
        </is>
      </c>
      <c r="C20" s="21">
        <f>SUM(C10:C19)</f>
        <v/>
      </c>
      <c r="E20" s="21">
        <f>SUM(E10:E19)</f>
        <v/>
      </c>
    </row>
  </sheetData>
  <sheetProtection selectLockedCells="0" selectUnlockedCells="0" sheet="1" objects="0" insertRows="0" insertHyperlinks="1" autoFilter="0" scenarios="0" formatColumns="0" deleteColumns="1" insertColumns="1" pivotTables="1" deleteRows="1" formatCells="1" formatRows="0" sort="0"/>
  <dataValidations count="1">
    <dataValidation sqref="C6" showDropDown="0" showInputMessage="0" showErrorMessage="0" allowBlank="0" type="list">
      <formula1>"Snowball,Avalanche"</formula1>
    </dataValidation>
  </dataValidations>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s>
  <printOptions gridLines="0"/>
  <pageMargins left="0.75" right="0.75" top="1" bottom="1" header="0.5" footer="0.5"/>
  <pageSetup orientation="landscape" fitToHeight="1" fitToWidth="1"/>
</worksheet>
</file>

<file path=xl/worksheets/sheet19.xml><?xml version="1.0" encoding="utf-8"?>
<worksheet xmlns="http://schemas.openxmlformats.org/spreadsheetml/2006/main">
  <sheetPr>
    <tabColor rgb="005E6B78"/>
    <outlinePr summaryBelow="1" summaryRight="1"/>
    <pageSetUpPr fitToPage="1"/>
  </sheetPr>
  <dimension ref="B2:I16"/>
  <sheetViews>
    <sheetView showGridLines="0" workbookViewId="0">
      <pane ySplit="6" topLeftCell="A7" activePane="bottomLeft" state="frozen"/>
      <selection pane="bottomLeft" activeCell="A1" sqref="A1"/>
    </sheetView>
  </sheetViews>
  <sheetFormatPr baseColWidth="8" defaultRowHeight="15"/>
  <cols>
    <col width="3" customWidth="1" min="1" max="1"/>
    <col width="24" customWidth="1" min="2" max="2"/>
    <col width="14" customWidth="1" min="3" max="3"/>
    <col width="14" customWidth="1" min="4" max="4"/>
    <col width="10" customWidth="1" min="5" max="5"/>
    <col width="14" customWidth="1" min="6" max="6"/>
    <col width="16"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2" ht="34" customHeight="1">
      <c r="B2" s="1" t="inlineStr">
        <is>
          <t>Savings goals</t>
        </is>
      </c>
    </row>
    <row r="3">
      <c r="B3" s="2" t="inlineStr">
        <is>
          <t>One line per goal. The bar fills as you save.</t>
        </is>
      </c>
    </row>
    <row r="4">
      <c r="B4" s="3" t="inlineStr">
        <is>
          <t>Start here</t>
        </is>
      </c>
      <c r="C4" s="3" t="inlineStr">
        <is>
          <t>Dashboard</t>
        </is>
      </c>
      <c r="D4" s="3" t="inlineStr">
        <is>
          <t>Setup</t>
        </is>
      </c>
      <c r="E4" s="3" t="inlineStr">
        <is>
          <t>Months</t>
        </is>
      </c>
      <c r="F4" s="3" t="inlineStr">
        <is>
          <t>Bills</t>
        </is>
      </c>
      <c r="G4" s="3" t="inlineStr">
        <is>
          <t>Paycheck</t>
        </is>
      </c>
      <c r="H4" s="3" t="inlineStr">
        <is>
          <t>Debt</t>
        </is>
      </c>
      <c r="I4" s="3" t="inlineStr">
        <is>
          <t>Savings</t>
        </is>
      </c>
    </row>
    <row r="6" ht="22" customHeight="1">
      <c r="B6" s="9" t="inlineStr">
        <is>
          <t>Goal</t>
        </is>
      </c>
      <c r="C6" s="9" t="inlineStr">
        <is>
          <t>Target</t>
        </is>
      </c>
      <c r="D6" s="9" t="inlineStr">
        <is>
          <t>Saved</t>
        </is>
      </c>
      <c r="E6" s="9" t="inlineStr">
        <is>
          <t>Progress</t>
        </is>
      </c>
      <c r="F6" s="9" t="inlineStr">
        <is>
          <t>Target date</t>
        </is>
      </c>
      <c r="G6" s="9" t="inlineStr">
        <is>
          <t>Save per month</t>
        </is>
      </c>
      <c r="H6" s="9" t="inlineStr"/>
    </row>
    <row r="7">
      <c r="B7" s="15" t="inlineStr">
        <is>
          <t>Emergency fund</t>
        </is>
      </c>
      <c r="C7" s="24" t="n">
        <v>5000</v>
      </c>
      <c r="D7" s="24" t="n">
        <v>1200</v>
      </c>
      <c r="E7" s="30">
        <f>IF(OR(C7="",C7=0),"",MIN(1,D7/C7))</f>
        <v/>
      </c>
      <c r="F7" s="38" t="n">
        <v>46722</v>
      </c>
      <c r="G7" s="20">
        <f>IF(OR(C7="",F7=""),"",IF(D7&gt;=C7,"Reached",IF(((YEAR(F7)-YEAR(TODAY()))*12+MONTH(F7)-MONTH(TODAY()))&lt;1,"Date passed: pick a new one",(C7-D7)/((YEAR(F7)-YEAR(TODAY()))*12+MONTH(F7)-MONTH(TODAY())))))</f>
        <v/>
      </c>
      <c r="H7" s="31">
        <f>IF(E7="","",REPT("█",ROUND(MIN(1,MAX(0,E7))*10,0))&amp;REPT("░",10-ROUND(MIN(1,MAX(0,E7))*10,0)))</f>
        <v/>
      </c>
    </row>
    <row r="8">
      <c r="B8" s="15" t="inlineStr">
        <is>
          <t>Holiday trip</t>
        </is>
      </c>
      <c r="C8" s="24" t="n">
        <v>1800</v>
      </c>
      <c r="D8" s="24" t="n">
        <v>450</v>
      </c>
      <c r="E8" s="30">
        <f>IF(OR(C8="",C8=0),"",MIN(1,D8/C8))</f>
        <v/>
      </c>
      <c r="F8" s="38" t="n">
        <v>46569</v>
      </c>
      <c r="G8" s="20">
        <f>IF(OR(C8="",F8=""),"",IF(D8&gt;=C8,"Reached",IF(((YEAR(F8)-YEAR(TODAY()))*12+MONTH(F8)-MONTH(TODAY()))&lt;1,"Date passed: pick a new one",(C8-D8)/((YEAR(F8)-YEAR(TODAY()))*12+MONTH(F8)-MONTH(TODAY())))))</f>
        <v/>
      </c>
      <c r="H8" s="31">
        <f>IF(E8="","",REPT("█",ROUND(MIN(1,MAX(0,E8))*10,0))&amp;REPT("░",10-ROUND(MIN(1,MAX(0,E8))*10,0)))</f>
        <v/>
      </c>
    </row>
    <row r="9">
      <c r="B9" s="15" t="inlineStr">
        <is>
          <t>New laptop</t>
        </is>
      </c>
      <c r="C9" s="24" t="n">
        <v>1200</v>
      </c>
      <c r="D9" s="24" t="n">
        <v>300</v>
      </c>
      <c r="E9" s="30">
        <f>IF(OR(C9="",C9=0),"",MIN(1,D9/C9))</f>
        <v/>
      </c>
      <c r="F9" s="38" t="n">
        <v>46631</v>
      </c>
      <c r="G9" s="20">
        <f>IF(OR(C9="",F9=""),"",IF(D9&gt;=C9,"Reached",IF(((YEAR(F9)-YEAR(TODAY()))*12+MONTH(F9)-MONTH(TODAY()))&lt;1,"Date passed: pick a new one",(C9-D9)/((YEAR(F9)-YEAR(TODAY()))*12+MONTH(F9)-MONTH(TODAY())))))</f>
        <v/>
      </c>
      <c r="H9" s="31">
        <f>IF(E9="","",REPT("█",ROUND(MIN(1,MAX(0,E9))*10,0))&amp;REPT("░",10-ROUND(MIN(1,MAX(0,E9))*10,0)))</f>
        <v/>
      </c>
    </row>
    <row r="10">
      <c r="B10" s="15" t="n"/>
      <c r="C10" s="24" t="n"/>
      <c r="D10" s="24" t="n"/>
      <c r="E10" s="30">
        <f>IF(OR(C10="",C10=0),"",MIN(1,D10/C10))</f>
        <v/>
      </c>
      <c r="F10" s="38" t="n"/>
      <c r="G10" s="20">
        <f>IF(OR(C10="",F10=""),"",IF(D10&gt;=C10,"Reached",IF(((YEAR(F10)-YEAR(TODAY()))*12+MONTH(F10)-MONTH(TODAY()))&lt;1,"Date passed: pick a new one",(C10-D10)/((YEAR(F10)-YEAR(TODAY()))*12+MONTH(F10)-MONTH(TODAY())))))</f>
        <v/>
      </c>
      <c r="H10" s="31">
        <f>IF(E10="","",REPT("█",ROUND(MIN(1,MAX(0,E10))*10,0))&amp;REPT("░",10-ROUND(MIN(1,MAX(0,E10))*10,0)))</f>
        <v/>
      </c>
    </row>
    <row r="11">
      <c r="B11" s="15" t="n"/>
      <c r="C11" s="24" t="n"/>
      <c r="D11" s="24" t="n"/>
      <c r="E11" s="30">
        <f>IF(OR(C11="",C11=0),"",MIN(1,D11/C11))</f>
        <v/>
      </c>
      <c r="F11" s="38" t="n"/>
      <c r="G11" s="20">
        <f>IF(OR(C11="",F11=""),"",IF(D11&gt;=C11,"Reached",IF(((YEAR(F11)-YEAR(TODAY()))*12+MONTH(F11)-MONTH(TODAY()))&lt;1,"Date passed: pick a new one",(C11-D11)/((YEAR(F11)-YEAR(TODAY()))*12+MONTH(F11)-MONTH(TODAY())))))</f>
        <v/>
      </c>
      <c r="H11" s="31">
        <f>IF(E11="","",REPT("█",ROUND(MIN(1,MAX(0,E11))*10,0))&amp;REPT("░",10-ROUND(MIN(1,MAX(0,E11))*10,0)))</f>
        <v/>
      </c>
    </row>
    <row r="12">
      <c r="B12" s="15" t="n"/>
      <c r="C12" s="24" t="n"/>
      <c r="D12" s="24" t="n"/>
      <c r="E12" s="30">
        <f>IF(OR(C12="",C12=0),"",MIN(1,D12/C12))</f>
        <v/>
      </c>
      <c r="F12" s="38" t="n"/>
      <c r="G12" s="20">
        <f>IF(OR(C12="",F12=""),"",IF(D12&gt;=C12,"Reached",IF(((YEAR(F12)-YEAR(TODAY()))*12+MONTH(F12)-MONTH(TODAY()))&lt;1,"Date passed: pick a new one",(C12-D12)/((YEAR(F12)-YEAR(TODAY()))*12+MONTH(F12)-MONTH(TODAY())))))</f>
        <v/>
      </c>
      <c r="H12" s="31">
        <f>IF(E12="","",REPT("█",ROUND(MIN(1,MAX(0,E12))*10,0))&amp;REPT("░",10-ROUND(MIN(1,MAX(0,E12))*10,0)))</f>
        <v/>
      </c>
    </row>
    <row r="13">
      <c r="B13" s="15" t="n"/>
      <c r="C13" s="24" t="n"/>
      <c r="D13" s="24" t="n"/>
      <c r="E13" s="30">
        <f>IF(OR(C13="",C13=0),"",MIN(1,D13/C13))</f>
        <v/>
      </c>
      <c r="F13" s="38" t="n"/>
      <c r="G13" s="20">
        <f>IF(OR(C13="",F13=""),"",IF(D13&gt;=C13,"Reached",IF(((YEAR(F13)-YEAR(TODAY()))*12+MONTH(F13)-MONTH(TODAY()))&lt;1,"Date passed: pick a new one",(C13-D13)/((YEAR(F13)-YEAR(TODAY()))*12+MONTH(F13)-MONTH(TODAY())))))</f>
        <v/>
      </c>
      <c r="H13" s="31">
        <f>IF(E13="","",REPT("█",ROUND(MIN(1,MAX(0,E13))*10,0))&amp;REPT("░",10-ROUND(MIN(1,MAX(0,E13))*10,0)))</f>
        <v/>
      </c>
    </row>
    <row r="14">
      <c r="B14" s="15" t="n"/>
      <c r="C14" s="24" t="n"/>
      <c r="D14" s="24" t="n"/>
      <c r="E14" s="30">
        <f>IF(OR(C14="",C14=0),"",MIN(1,D14/C14))</f>
        <v/>
      </c>
      <c r="F14" s="38" t="n"/>
      <c r="G14" s="20">
        <f>IF(OR(C14="",F14=""),"",IF(D14&gt;=C14,"Reached",IF(((YEAR(F14)-YEAR(TODAY()))*12+MONTH(F14)-MONTH(TODAY()))&lt;1,"Date passed: pick a new one",(C14-D14)/((YEAR(F14)-YEAR(TODAY()))*12+MONTH(F14)-MONTH(TODAY())))))</f>
        <v/>
      </c>
      <c r="H14" s="31">
        <f>IF(E14="","",REPT("█",ROUND(MIN(1,MAX(0,E14))*10,0))&amp;REPT("░",10-ROUND(MIN(1,MAX(0,E14))*10,0)))</f>
        <v/>
      </c>
    </row>
    <row r="15">
      <c r="B15" s="15" t="n"/>
      <c r="C15" s="24" t="n"/>
      <c r="D15" s="24" t="n"/>
      <c r="E15" s="30">
        <f>IF(OR(C15="",C15=0),"",MIN(1,D15/C15))</f>
        <v/>
      </c>
      <c r="F15" s="38" t="n"/>
      <c r="G15" s="20">
        <f>IF(OR(C15="",F15=""),"",IF(D15&gt;=C15,"Reached",IF(((YEAR(F15)-YEAR(TODAY()))*12+MONTH(F15)-MONTH(TODAY()))&lt;1,"Date passed: pick a new one",(C15-D15)/((YEAR(F15)-YEAR(TODAY()))*12+MONTH(F15)-MONTH(TODAY())))))</f>
        <v/>
      </c>
      <c r="H15" s="31">
        <f>IF(E15="","",REPT("█",ROUND(MIN(1,MAX(0,E15))*10,0))&amp;REPT("░",10-ROUND(MIN(1,MAX(0,E15))*10,0)))</f>
        <v/>
      </c>
    </row>
    <row r="16">
      <c r="B16" s="15" t="n"/>
      <c r="C16" s="24" t="n"/>
      <c r="D16" s="24" t="n"/>
      <c r="E16" s="30">
        <f>IF(OR(C16="",C16=0),"",MIN(1,D16/C16))</f>
        <v/>
      </c>
      <c r="F16" s="38" t="n"/>
      <c r="G16" s="20">
        <f>IF(OR(C16="",F16=""),"",IF(D16&gt;=C16,"Reached",IF(((YEAR(F16)-YEAR(TODAY()))*12+MONTH(F16)-MONTH(TODAY()))&lt;1,"Date passed: pick a new one",(C16-D16)/((YEAR(F16)-YEAR(TODAY()))*12+MONTH(F16)-MONTH(TODAY())))))</f>
        <v/>
      </c>
      <c r="H16" s="31">
        <f>IF(E16="","",REPT("█",ROUND(MIN(1,MAX(0,E16))*10,0))&amp;REPT("░",10-ROUND(MIN(1,MAX(0,E16))*10,0)))</f>
        <v/>
      </c>
    </row>
  </sheetData>
  <sheetProtection selectLockedCells="0" selectUnlockedCells="0" sheet="1" objects="0" insertRows="0" insertHyperlinks="1" autoFilter="0" scenarios="0" formatColumns="0" deleteColumns="1" insertColumns="1" pivotTables="1" deleteRows="1" formatCells="1" formatRows="0" sort="0"/>
  <hyperlinks>
    <hyperlink ref="B4" location="'Start here'!A1" display="Start here"/>
    <hyperlink ref="C4" location="'Dashboard'!A1" display="Dashboard"/>
    <hyperlink ref="D4" location="'Setup'!A1" display="Setup"/>
    <hyperlink ref="E4" location="'January'!A1" display="Months"/>
    <hyperlink ref="F4" location="'Bills'!A1" display="Bills"/>
    <hyperlink ref="G4" location="'Paycheck plan'!A1" display="Paycheck"/>
    <hyperlink ref="H4" location="'Debt payoff'!A1" display="Debt"/>
    <hyperlink ref="I4" location="'Savings goals'!A1" display="Savings"/>
  </hyperlinks>
  <printOptions gridLines="0"/>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2026-10-22T08:00:30Z</dcterms:created>
  <dcterms:modified xmlns:dcterms="http://purl.org/dc/terms/" xmlns:xsi="http://www.w3.org/2001/XMLSchema-instance" xsi:type="dcterms:W3CDTF">2026-10-22T08:00:32Z</dcterms:modified>
</cp:coreProperties>
</file>