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Dashboard" sheetId="2" state="visible" r:id="rId4"/>
    <sheet name="Setup" sheetId="3" state="visible" r:id="rId5"/>
    <sheet name="January" sheetId="4" state="visible" r:id="rId6"/>
    <sheet name="February" sheetId="5" state="visible" r:id="rId7"/>
    <sheet name="March" sheetId="6" state="visible" r:id="rId8"/>
    <sheet name="April" sheetId="7" state="visible" r:id="rId9"/>
    <sheet name="May" sheetId="8" state="visible" r:id="rId10"/>
    <sheet name="June" sheetId="9" state="visible" r:id="rId11"/>
    <sheet name="July" sheetId="10" state="visible" r:id="rId12"/>
    <sheet name="August" sheetId="11" state="visible" r:id="rId13"/>
    <sheet name="September" sheetId="12" state="visible" r:id="rId14"/>
    <sheet name="October" sheetId="13" state="visible" r:id="rId15"/>
    <sheet name="November" sheetId="14" state="visible" r:id="rId16"/>
    <sheet name="December" sheetId="15" state="visible" r:id="rId17"/>
    <sheet name="Bills" sheetId="16" state="visible" r:id="rId18"/>
    <sheet name="Paycheck plan" sheetId="17" state="visible" r:id="rId19"/>
    <sheet name="Debt payoff" sheetId="18" state="visible" r:id="rId20"/>
    <sheet name="Savings goals" sheetId="19" state="visible" r:id="rId21"/>
  </sheets>
  <definedNames>
    <definedName function="false" hidden="false" localSheetId="6" name="_xlnm.Print_Area" vbProcedure="false">April!$B$2:$L$30</definedName>
    <definedName function="false" hidden="false" localSheetId="10" name="_xlnm.Print_Area" vbProcedure="false">August!$B$2:$L$30</definedName>
    <definedName function="false" hidden="false" localSheetId="15" name="_xlnm.Print_Area" vbProcedure="false">Bills!$B$2:$Q$16</definedName>
    <definedName function="false" hidden="false" localSheetId="1" name="_xlnm.Print_Area" vbProcedure="false">Dashboard!$B$2:$I$37</definedName>
    <definedName function="false" hidden="false" localSheetId="17" name="_xlnm.Print_Area" vbProcedure="false">'Debt payoff'!$B$2:$J$15</definedName>
    <definedName function="false" hidden="false" localSheetId="14" name="_xlnm.Print_Area" vbProcedure="false">December!$B$2:$L$30</definedName>
    <definedName function="false" hidden="false" localSheetId="4" name="_xlnm.Print_Area" vbProcedure="false">February!$B$2:$L$30</definedName>
    <definedName function="false" hidden="false" localSheetId="3" name="_xlnm.Print_Area" vbProcedure="false">January!$B$2:$L$30</definedName>
    <definedName function="false" hidden="false" localSheetId="9" name="_xlnm.Print_Area" vbProcedure="false">July!$B$2:$L$30</definedName>
    <definedName function="false" hidden="false" localSheetId="8" name="_xlnm.Print_Area" vbProcedure="false">June!$B$2:$L$30</definedName>
    <definedName function="false" hidden="false" localSheetId="5" name="_xlnm.Print_Area" vbProcedure="false">March!$B$2:$L$30</definedName>
    <definedName function="false" hidden="false" localSheetId="7" name="_xlnm.Print_Area" vbProcedure="false">May!$B$2:$L$30</definedName>
    <definedName function="false" hidden="false" localSheetId="13" name="_xlnm.Print_Area" vbProcedure="false">November!$B$2:$L$30</definedName>
    <definedName function="false" hidden="false" localSheetId="12" name="_xlnm.Print_Area" vbProcedure="false">October!$B$2:$L$30</definedName>
    <definedName function="false" hidden="false" localSheetId="16" name="_xlnm.Print_Area" vbProcedure="false">'Paycheck plan'!$B$2:$F$32</definedName>
    <definedName function="false" hidden="false" localSheetId="18" name="_xlnm.Print_Area" vbProcedure="false">'Savings goals'!$B$2:$H$12</definedName>
    <definedName function="false" hidden="false" localSheetId="11" name="_xlnm.Print_Area" vbProcedure="false">September!$B$2:$L$30</definedName>
    <definedName function="false" hidden="false" localSheetId="2" name="_xlnm.Print_Area" vbProcedure="false">Setup!$B$2:$G$41</definedName>
    <definedName function="false" hidden="false" localSheetId="0" name="_xlnm.Print_Area" vbProcedure="false">'Start here'!$B$2:$E$26</definedName>
    <definedName function="false" hidden="false" name="Categories" vbProcedure="false">Setup!$E$10:$E$39</definedName>
    <definedName function="false" hidden="false" name="Year" vbProcedure="false">Setup!$C$6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<sst xmlns="http://schemas.openxmlformats.org/spreadsheetml/2006/main" count="581" uniqueCount="174">
  <si>
    <t xml:space="preserve">Clear Budget</t>
  </si>
  <si>
    <t xml:space="preserve">Monthly budget, paycheck plan, bills, debt and savings for Google Sheets and Excel</t>
  </si>
  <si>
    <t xml:space="preserve">Start here</t>
  </si>
  <si>
    <t xml:space="preserve">Dashboard</t>
  </si>
  <si>
    <t xml:space="preserve">Setup</t>
  </si>
  <si>
    <t xml:space="preserve">Months</t>
  </si>
  <si>
    <t xml:space="preserve">Bills</t>
  </si>
  <si>
    <t xml:space="preserve">Paycheck</t>
  </si>
  <si>
    <t xml:space="preserve">Debt</t>
  </si>
  <si>
    <t xml:space="preserve">Savings</t>
  </si>
  <si>
    <t xml:space="preserve">Open it in your app</t>
  </si>
  <si>
    <t xml:space="preserve">Download the file from Etsy.com &gt; Purchases on a computer (the Etsy phone app cannot download files) and save it; do not open it in a browser preview. Google Sheets: on drive.google.com choose New &gt; File upload, pick the .xlsx, then open it with Google Sheets. Excel: double-click the file. There is no link to request and no access to wait for.</t>
  </si>
  <si>
    <t xml:space="preserve">January</t>
  </si>
  <si>
    <t xml:space="preserve">Look at January, then clear it</t>
  </si>
  <si>
    <t xml:space="preserve">January holds an example month so you can see the math work. Select the shaded Date to Amount cells in January's log and press Delete. The Ready check below shows Done when it is gone.</t>
  </si>
  <si>
    <t xml:space="preserve">February</t>
  </si>
  <si>
    <t xml:space="preserve">Fill in Setup once</t>
  </si>
  <si>
    <t xml:space="preserve">Type your take-home pay, then name your own categories, pick a group for each and give each a monthly budget. Aim for Left to budget = 0. Change or add categories any time; every tab follows.</t>
  </si>
  <si>
    <t xml:space="preserve">March</t>
  </si>
  <si>
    <t xml:space="preserve">Log spending in this month</t>
  </si>
  <si>
    <t xml:space="preserve">Pick this month in the jump row below. Starting mid-year? Empty months stay out of your totals. Starting now, before the new year? Set the Year in Setup to this year and use October, November and December; in January keep that copy as last year's record and start this year in a fresh download, copying your Setup categories across.</t>
  </si>
  <si>
    <t xml:space="preserve">April</t>
  </si>
  <si>
    <t xml:space="preserve">Check your Dashboard</t>
  </si>
  <si>
    <t xml:space="preserve">See the year by month and where the money went. Bills, Paycheck plan, Debt and Savings are extras: use them when you want them, skip them if you do not.</t>
  </si>
  <si>
    <t xml:space="preserve">May</t>
  </si>
  <si>
    <t xml:space="preserve">June</t>
  </si>
  <si>
    <t xml:space="preserve">Ready check</t>
  </si>
  <si>
    <t xml:space="preserve">Updates as you type.</t>
  </si>
  <si>
    <t xml:space="preserve">July</t>
  </si>
  <si>
    <t xml:space="preserve">Check</t>
  </si>
  <si>
    <t xml:space="preserve">Status</t>
  </si>
  <si>
    <t xml:space="preserve">What to do</t>
  </si>
  <si>
    <t xml:space="preserve">August</t>
  </si>
  <si>
    <t xml:space="preserve">Income entered</t>
  </si>
  <si>
    <t xml:space="preserve">September</t>
  </si>
  <si>
    <t xml:space="preserve">Every dollar has a job</t>
  </si>
  <si>
    <t xml:space="preserve">October</t>
  </si>
  <si>
    <t xml:space="preserve">Every category has a group</t>
  </si>
  <si>
    <t xml:space="preserve">November</t>
  </si>
  <si>
    <t xml:space="preserve">Spending matches your categories</t>
  </si>
  <si>
    <t xml:space="preserve">December</t>
  </si>
  <si>
    <t xml:space="preserve">No amounts without a category</t>
  </si>
  <si>
    <t xml:space="preserve">Example cleared</t>
  </si>
  <si>
    <t xml:space="preserve">Your split (info, not pass or fail)</t>
  </si>
  <si>
    <t xml:space="preserve">Info</t>
  </si>
  <si>
    <t xml:space="preserve">Jump to a month</t>
  </si>
  <si>
    <t xml:space="preserve">If something looks wrong</t>
  </si>
  <si>
    <t xml:space="preserve">A month total looks too low: check the Ready check for amounts without a category or with a category not in Setup.</t>
  </si>
  <si>
    <t xml:space="preserve">A category is missing from the dropdown: add it in Setup (any empty row); it appears in every month.</t>
  </si>
  <si>
    <t xml:space="preserve">I typed over a formula: Edit &gt; Undo, or File &gt; Version history in Google Sheets.</t>
  </si>
  <si>
    <t xml:space="preserve">Amounts show $ but I use another currency: unprotect the tab (no password) and change the number format.</t>
  </si>
  <si>
    <t xml:space="preserve">Colour key</t>
  </si>
  <si>
    <t xml:space="preserve">Type here</t>
  </si>
  <si>
    <t xml:space="preserve">Shaded cells are yours to fill in.</t>
  </si>
  <si>
    <t xml:space="preserve">Calculated</t>
  </si>
  <si>
    <t xml:space="preserve">Plain cells hold formulas.</t>
  </si>
  <si>
    <t xml:space="preserve">Tip</t>
  </si>
  <si>
    <t xml:space="preserve">Shaded cells are for typing. Plain cells hold formulas. In Excel they are locked; to change one use Review &gt; Unprotect Sheet (there is no password). In Google Sheets, if you type over a formula, Edit &gt; Undo or File &gt; Version history brings it back.</t>
  </si>
  <si>
    <t xml:space="preserve">Your year at a glance. Nothing to type here.</t>
  </si>
  <si>
    <t xml:space="preserve">Month</t>
  </si>
  <si>
    <t xml:space="preserve">Income</t>
  </si>
  <si>
    <t xml:space="preserve">Spent</t>
  </si>
  <si>
    <t xml:space="preserve">Left over</t>
  </si>
  <si>
    <t xml:space="preserve">Saved and debt paid</t>
  </si>
  <si>
    <t xml:space="preserve">Category</t>
  </si>
  <si>
    <t xml:space="preserve">Spent this year</t>
  </si>
  <si>
    <t xml:space="preserve">Year</t>
  </si>
  <si>
    <t xml:space="preserve">Share to savings and debt</t>
  </si>
  <si>
    <t xml:space="preserve">Group</t>
  </si>
  <si>
    <t xml:space="preserve">Needs</t>
  </si>
  <si>
    <t xml:space="preserve">Wants</t>
  </si>
  <si>
    <t xml:space="preserve">Fill this in once. Every other tab updates from here.</t>
  </si>
  <si>
    <t xml:space="preserve">Currency</t>
  </si>
  <si>
    <t xml:space="preserve">$</t>
  </si>
  <si>
    <t xml:space="preserve">Income source</t>
  </si>
  <si>
    <t xml:space="preserve">Monthly amount</t>
  </si>
  <si>
    <t xml:space="preserve">Monthly budget</t>
  </si>
  <si>
    <t xml:space="preserve">Rent or mortgage</t>
  </si>
  <si>
    <t xml:space="preserve">Side income</t>
  </si>
  <si>
    <t xml:space="preserve">Utilities</t>
  </si>
  <si>
    <t xml:space="preserve">Groceries</t>
  </si>
  <si>
    <t xml:space="preserve">Transport</t>
  </si>
  <si>
    <t xml:space="preserve">Insurance</t>
  </si>
  <si>
    <t xml:space="preserve">Phone and internet</t>
  </si>
  <si>
    <t xml:space="preserve">Medical</t>
  </si>
  <si>
    <t xml:space="preserve">Eating out</t>
  </si>
  <si>
    <t xml:space="preserve">Expected income</t>
  </si>
  <si>
    <t xml:space="preserve">Shopping</t>
  </si>
  <si>
    <t xml:space="preserve">Subscriptions</t>
  </si>
  <si>
    <t xml:space="preserve">Fun</t>
  </si>
  <si>
    <t xml:space="preserve">Gifts</t>
  </si>
  <si>
    <t xml:space="preserve">Personal care</t>
  </si>
  <si>
    <t xml:space="preserve">Emergency fund</t>
  </si>
  <si>
    <t xml:space="preserve">Sinking funds</t>
  </si>
  <si>
    <t xml:space="preserve">Retirement</t>
  </si>
  <si>
    <t xml:space="preserve">Credit card</t>
  </si>
  <si>
    <t xml:space="preserve">Student loan</t>
  </si>
  <si>
    <t xml:space="preserve">Total budget</t>
  </si>
  <si>
    <t xml:space="preserve">Left to budget</t>
  </si>
  <si>
    <t xml:space="preserve">Log what you spend. The summary on the right updates itself.</t>
  </si>
  <si>
    <t xml:space="preserve">Date</t>
  </si>
  <si>
    <t xml:space="preserve">What</t>
  </si>
  <si>
    <t xml:space="preserve">Amount</t>
  </si>
  <si>
    <t xml:space="preserve">Income this month</t>
  </si>
  <si>
    <t xml:space="preserve">Type over this if your income was different</t>
  </si>
  <si>
    <t xml:space="preserve">Rent</t>
  </si>
  <si>
    <t xml:space="preserve">Weekly shop</t>
  </si>
  <si>
    <t xml:space="preserve">Bus pass</t>
  </si>
  <si>
    <t xml:space="preserve">Pizza night</t>
  </si>
  <si>
    <t xml:space="preserve">Budget</t>
  </si>
  <si>
    <t xml:space="preserve">Left</t>
  </si>
  <si>
    <t xml:space="preserve">Used</t>
  </si>
  <si>
    <t xml:space="preserve">Phone bill</t>
  </si>
  <si>
    <t xml:space="preserve">To emergency fund</t>
  </si>
  <si>
    <t xml:space="preserve">Streaming</t>
  </si>
  <si>
    <t xml:space="preserve">Card payment</t>
  </si>
  <si>
    <t xml:space="preserve">Concert tickets</t>
  </si>
  <si>
    <t xml:space="preserve">Shoes</t>
  </si>
  <si>
    <t xml:space="preserve">Mark each bill paid with a ✓ from the dropdown.</t>
  </si>
  <si>
    <t xml:space="preserve">Bill</t>
  </si>
  <si>
    <t xml:space="preserve">Due day</t>
  </si>
  <si>
    <t xml:space="preserve">Autopay</t>
  </si>
  <si>
    <t xml:space="preserve">Jan</t>
  </si>
  <si>
    <t xml:space="preserve">Feb</t>
  </si>
  <si>
    <t xml:space="preserve">Mar</t>
  </si>
  <si>
    <t xml:space="preserve">Apr</t>
  </si>
  <si>
    <t xml:space="preserve">Jun</t>
  </si>
  <si>
    <t xml:space="preserve">Jul</t>
  </si>
  <si>
    <t xml:space="preserve">Aug</t>
  </si>
  <si>
    <t xml:space="preserve">Sep</t>
  </si>
  <si>
    <t xml:space="preserve">Oct</t>
  </si>
  <si>
    <t xml:space="preserve">Nov</t>
  </si>
  <si>
    <t xml:space="preserve">Dec</t>
  </si>
  <si>
    <t xml:space="preserve">Yes</t>
  </si>
  <si>
    <t xml:space="preserve">Car insurance</t>
  </si>
  <si>
    <t xml:space="preserve">No</t>
  </si>
  <si>
    <t xml:space="preserve">Electric</t>
  </si>
  <si>
    <t xml:space="preserve">Total per month</t>
  </si>
  <si>
    <t xml:space="preserve">Paycheck plan</t>
  </si>
  <si>
    <t xml:space="preserve">Paid weekly or every two weeks? See which bills each paycheck covers. Paid monthly? Skip this tab.</t>
  </si>
  <si>
    <t xml:space="preserve">Next payday</t>
  </si>
  <si>
    <t xml:space="preserve">How often</t>
  </si>
  <si>
    <t xml:space="preserve">Every 2 weeks</t>
  </si>
  <si>
    <t xml:space="preserve">Usual paycheck</t>
  </si>
  <si>
    <t xml:space="preserve">Starts from your first income line in Setup. Type your real take-home pay.</t>
  </si>
  <si>
    <t xml:space="preserve">Payday</t>
  </si>
  <si>
    <t xml:space="preserve">Bills due before next payday</t>
  </si>
  <si>
    <t xml:space="preserve">Left from this paycheck</t>
  </si>
  <si>
    <t xml:space="preserve">Debt payoff</t>
  </si>
  <si>
    <t xml:space="preserve">List your debts. The order and timelines update as you pay.</t>
  </si>
  <si>
    <t xml:space="preserve">Method</t>
  </si>
  <si>
    <t xml:space="preserve">Snowball</t>
  </si>
  <si>
    <t xml:space="preserve">Extra each month</t>
  </si>
  <si>
    <t xml:space="preserve">Goes to the debt that is first in pay order.</t>
  </si>
  <si>
    <t xml:space="preserve">Balance</t>
  </si>
  <si>
    <t xml:space="preserve">Rate (APR)</t>
  </si>
  <si>
    <t xml:space="preserve">Minimum</t>
  </si>
  <si>
    <t xml:space="preserve">Pay order</t>
  </si>
  <si>
    <t xml:space="preserve">Months at minimum</t>
  </si>
  <si>
    <t xml:space="preserve">Interest at minimum</t>
  </si>
  <si>
    <t xml:space="preserve">Months with extra</t>
  </si>
  <si>
    <t xml:space="preserve">Interest saved</t>
  </si>
  <si>
    <t xml:space="preserve">Car loan</t>
  </si>
  <si>
    <t xml:space="preserve">Total</t>
  </si>
  <si>
    <t xml:space="preserve">Savings goals</t>
  </si>
  <si>
    <t xml:space="preserve">One line per goal. The bar fills as you save.</t>
  </si>
  <si>
    <t xml:space="preserve">Goal</t>
  </si>
  <si>
    <t xml:space="preserve">Target</t>
  </si>
  <si>
    <t xml:space="preserve">Saved</t>
  </si>
  <si>
    <t xml:space="preserve">Progress</t>
  </si>
  <si>
    <t xml:space="preserve">Target date</t>
  </si>
  <si>
    <t xml:space="preserve">Save per month</t>
  </si>
  <si>
    <t xml:space="preserve">Holiday trip</t>
  </si>
  <si>
    <t xml:space="preserve">New laptop</t>
  </si>
</sst>
</file>

<file path=xl/styles.xml><?xml version="1.0" encoding="utf-8"?>
<styleSheet xmlns="http://schemas.openxmlformats.org/spreadsheetml/2006/main">
  <numFmts count="10">
    <numFmt numFmtId="164" formatCode="General"/>
    <numFmt numFmtId="165" formatCode="\$#,##0.00;[RED]&quot;-$&quot;#,##0.00;\$0.00"/>
    <numFmt numFmtId="166" formatCode="0%"/>
    <numFmt numFmtId="167" formatCode="\$#,##0"/>
    <numFmt numFmtId="168" formatCode="0"/>
    <numFmt numFmtId="169" formatCode="mmm\ d"/>
    <numFmt numFmtId="170" formatCode="mmm\ d&quot;, &quot;yyyy"/>
    <numFmt numFmtId="171" formatCode="ddd\ mmm\ d"/>
    <numFmt numFmtId="172" formatCode="0.0%"/>
    <numFmt numFmtId="173" formatCode="mmm\ yyyy"/>
  </numFmts>
  <fonts count="22">
    <font>
      <sz val="11"/>
      <color theme="1"/>
      <name val="Calibri"/>
      <family val="2"/>
      <charset val="1"/>
    </font>
    <font>
      <sz val="10"/>
      <name val="Arial"/>
      <family val="0"/>
    </font>
    <font>
      <sz val="10"/>
      <name val="Arial"/>
      <family val="0"/>
    </font>
    <font>
      <sz val="10"/>
      <name val="Arial"/>
      <family val="0"/>
    </font>
    <font>
      <b val="true"/>
      <sz val="22"/>
      <color rgb="FF1F2A44"/>
      <name val="Arial"/>
      <family val="0"/>
      <charset val="1"/>
    </font>
    <font>
      <sz val="11"/>
      <color rgb="FF5E6B78"/>
      <name val="Arial"/>
      <family val="0"/>
      <charset val="1"/>
    </font>
    <font>
      <b val="true"/>
      <u val="single"/>
      <sz val="9"/>
      <color rgb="FF2F6F5E"/>
      <name val="Arial"/>
      <family val="0"/>
      <charset val="1"/>
    </font>
    <font>
      <b val="true"/>
      <sz val="14"/>
      <color rgb="FFFFFFFF"/>
      <name val="Arial"/>
      <family val="0"/>
      <charset val="1"/>
    </font>
    <font>
      <b val="true"/>
      <sz val="12"/>
      <color rgb="FF1F2A44"/>
      <name val="Arial"/>
      <family val="0"/>
      <charset val="1"/>
    </font>
    <font>
      <sz val="10"/>
      <color rgb="FF5E6B78"/>
      <name val="Arial"/>
      <family val="0"/>
      <charset val="1"/>
    </font>
    <font>
      <b val="true"/>
      <sz val="14"/>
      <color rgb="FF1F2A44"/>
      <name val="Arial"/>
      <family val="0"/>
      <charset val="1"/>
    </font>
    <font>
      <i val="true"/>
      <sz val="10"/>
      <color rgb="FF5E6B78"/>
      <name val="Arial"/>
      <family val="0"/>
      <charset val="1"/>
    </font>
    <font>
      <b val="true"/>
      <sz val="10"/>
      <color rgb="FFFFFFFF"/>
      <name val="Arial"/>
      <family val="0"/>
      <charset val="1"/>
    </font>
    <font>
      <sz val="11"/>
      <color rgb="FF1F2A44"/>
      <name val="Arial"/>
      <family val="0"/>
      <charset val="1"/>
    </font>
    <font>
      <b val="true"/>
      <sz val="11"/>
      <color rgb="FF1F2A44"/>
      <name val="Arial"/>
      <family val="0"/>
      <charset val="1"/>
    </font>
    <font>
      <sz val="10"/>
      <color rgb="FF1F2A44"/>
      <name val="Arial"/>
      <family val="0"/>
      <charset val="1"/>
    </font>
    <font>
      <b val="true"/>
      <sz val="11"/>
      <color rgb="FF2F6F5E"/>
      <name val="Arial"/>
      <family val="0"/>
      <charset val="1"/>
    </font>
    <font>
      <sz val="11"/>
      <color rgb="FF2F6F5E"/>
      <name val="Arial"/>
      <family val="0"/>
      <charset val="1"/>
    </font>
    <font>
      <b val="true"/>
      <sz val="18"/>
      <color rgb="FF000000"/>
      <name val="Calibri"/>
      <family val="2"/>
    </font>
    <font>
      <sz val="10"/>
      <color rgb="FF000000"/>
      <name val="Calibri"/>
      <family val="2"/>
    </font>
    <font>
      <i val="true"/>
      <sz val="9"/>
      <color rgb="FF5E6B78"/>
      <name val="Arial"/>
      <family val="0"/>
      <charset val="1"/>
    </font>
    <font>
      <sz val="9"/>
      <color rgb="FF2F6F5E"/>
      <name val="Arial"/>
      <family val="0"/>
      <charset val="1"/>
    </font>
  </fonts>
  <fills count="5">
    <fill>
      <patternFill patternType="none"/>
    </fill>
    <fill>
      <patternFill patternType="gray125"/>
    </fill>
    <fill>
      <patternFill patternType="solid">
        <fgColor rgb="FF2F6F5E"/>
        <bgColor rgb="FF5E6B78"/>
      </patternFill>
    </fill>
    <fill>
      <patternFill patternType="solid">
        <fgColor rgb="FF1F2A44"/>
        <bgColor rgb="FF003366"/>
      </patternFill>
    </fill>
    <fill>
      <patternFill patternType="solid">
        <fgColor rgb="FFE3EFE8"/>
        <bgColor rgb="FFD9D9D9"/>
      </patternFill>
    </fill>
  </fills>
  <borders count="2">
    <border diagonalUp="false" diagonalDown="false">
      <left/>
      <right/>
      <top/>
      <bottom/>
      <diagonal/>
    </border>
    <border diagonalUp="false" diagonalDown="false">
      <left/>
      <right/>
      <top/>
      <bottom style="thin">
        <color rgb="FF5E6B7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true">
      <alignment horizontal="general" vertical="bottom" textRotation="0" wrapText="false" indent="0" shrinkToFit="false"/>
      <protection locked="false" hidden="false"/>
    </xf>
    <xf numFmtId="165" fontId="13" fillId="4" borderId="1" xfId="0" applyFont="true" applyBorder="true" applyAlignment="false" applyProtection="true">
      <alignment horizontal="general" vertical="bottom" textRotation="0" wrapText="false" indent="0" shrinkToFit="false"/>
      <protection locked="false" hidden="false"/>
    </xf>
    <xf numFmtId="165" fontId="8" fillId="4" borderId="1" xfId="0" applyFont="true" applyBorder="true" applyAlignment="false" applyProtection="true">
      <alignment horizontal="general" vertical="bottom" textRotation="0" wrapText="false" indent="0" shrinkToFit="false"/>
      <protection locked="fals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9" fontId="13" fillId="4" borderId="1" xfId="0" applyFont="true" applyBorder="true" applyAlignment="true" applyProtection="true">
      <alignment horizontal="center" vertical="bottom" textRotation="0" wrapText="false" indent="0" shrinkToFit="false"/>
      <protection locked="false" hidden="false"/>
    </xf>
    <xf numFmtId="164" fontId="13" fillId="4" borderId="1" xfId="0" applyFont="true" applyBorder="true" applyAlignment="true" applyProtection="true">
      <alignment horizontal="general" vertical="bottom" textRotation="0" wrapText="false" indent="1" shrinkToFit="false"/>
      <protection locked="fals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true">
      <alignment horizontal="center" vertical="bottom" textRotation="0" wrapText="false" indent="0" shrinkToFit="false"/>
      <protection locked="false" hidden="false"/>
    </xf>
    <xf numFmtId="170" fontId="13" fillId="4" borderId="1" xfId="0" applyFont="true" applyBorder="true" applyAlignment="false" applyProtection="true">
      <alignment horizontal="general" vertical="bottom" textRotation="0" wrapText="false" indent="0" shrinkToFit="false"/>
      <protection locked="fals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2" fontId="13" fillId="4" borderId="1" xfId="0" applyFont="true" applyBorder="true" applyAlignment="false" applyProtection="true">
      <alignment horizontal="general" vertical="bottom" textRotation="0" wrapText="false" indent="0" shrinkToFit="false"/>
      <protection locked="fals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73" fontId="13" fillId="4" borderId="1" xfId="0" applyFont="true" applyBorder="tru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FFFFFF"/>
      </font>
      <fill>
        <patternFill>
          <bgColor rgb="FF2F6F5E"/>
        </patternFill>
      </fill>
    </dxf>
    <dxf>
      <font>
        <b val="1"/>
        <color rgb="FFC2410C"/>
      </font>
    </dxf>
    <dxf>
      <font>
        <color rgb="FFC2410C"/>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6F5E"/>
      <rgbColor rgb="FFC0C0C0"/>
      <rgbColor rgb="FF878787"/>
      <rgbColor rgb="FF9999FF"/>
      <rgbColor rgb="FF993366"/>
      <rgbColor rgb="FFFFFFCC"/>
      <rgbColor rgb="FFE3EFE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E6B78"/>
      <rgbColor rgb="FF8FB8A8"/>
      <rgbColor rgb="FF003366"/>
      <rgbColor rgb="FF339966"/>
      <rgbColor rgb="FF003300"/>
      <rgbColor rgb="FF333300"/>
      <rgbColor rgb="FFC2410C"/>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Income and spending by month</a:t>
            </a:r>
          </a:p>
        </c:rich>
      </c:tx>
      <c:overlay val="0"/>
      <c:spPr>
        <a:noFill/>
        <a:ln w="0">
          <a:noFill/>
        </a:ln>
      </c:spPr>
    </c:title>
    <c:autoTitleDeleted val="0"/>
    <c:plotArea>
      <c:barChart>
        <c:barDir val="col"/>
        <c:grouping val="clustered"/>
        <c:varyColors val="0"/>
        <c:ser>
          <c:idx val="0"/>
          <c:order val="0"/>
          <c:tx>
            <c:strRef>
              <c:f>Dashboard!C6</c:f>
              <c:strCache>
                <c:ptCount val="1"/>
                <c:pt idx="0">
                  <c:v>Income</c:v>
                </c:pt>
              </c:strCache>
            </c:strRef>
          </c:tx>
          <c:spPr>
            <a:solidFill>
              <a:srgbClr val="2f6f5e"/>
            </a:solidFill>
            <a:ln w="0">
              <a:solidFill>
                <a:srgbClr val="2f6f5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Dashboard!$C$7:$C$18</c:f>
              <c:numCache>
                <c:formatCode>\$#,##0.00;[RED]"-$"#,##0.00;\$0.00</c:formatCode>
                <c:ptCount val="12"/>
                <c:pt idx="0">
                  <c:v>3900</c:v>
                </c:pt>
              </c:numCache>
            </c:numRef>
          </c:val>
        </c:ser>
        <c:ser>
          <c:idx val="1"/>
          <c:order val="1"/>
          <c:tx>
            <c:strRef>
              <c:f>Dashboard!D6</c:f>
              <c:strCache>
                <c:ptCount val="1"/>
                <c:pt idx="0">
                  <c:v>Spent</c:v>
                </c:pt>
              </c:strCache>
            </c:strRef>
          </c:tx>
          <c:spPr>
            <a:solidFill>
              <a:srgbClr val="1f2a44"/>
            </a:solidFill>
            <a:ln w="0">
              <a:solidFill>
                <a:srgbClr val="1f2a4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Dashboard!$D$7:$D$18</c:f>
              <c:numCache>
                <c:formatCode>\$#,##0.00;[RED]"-$"#,##0.00;\$0.00</c:formatCode>
                <c:ptCount val="12"/>
                <c:pt idx="0">
                  <c:v>2112.09</c:v>
                </c:pt>
              </c:numCache>
            </c:numRef>
          </c:val>
        </c:ser>
        <c:gapWidth val="150"/>
        <c:overlap val="0"/>
        <c:axId val="25021963"/>
        <c:axId val="1622228"/>
      </c:barChart>
      <c:catAx>
        <c:axId val="250219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22228"/>
        <c:crosses val="autoZero"/>
        <c:auto val="1"/>
        <c:lblAlgn val="ctr"/>
        <c:lblOffset val="100"/>
        <c:noMultiLvlLbl val="0"/>
      </c:catAx>
      <c:valAx>
        <c:axId val="162222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0219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the money went</a:t>
            </a:r>
          </a:p>
        </c:rich>
      </c:tx>
      <c:overlay val="0"/>
      <c:spPr>
        <a:noFill/>
        <a:ln w="0">
          <a:noFill/>
        </a:ln>
      </c:spPr>
    </c:title>
    <c:autoTitleDeleted val="0"/>
    <c:plotArea>
      <c:pieChart>
        <c:varyColors val="1"/>
        <c:ser>
          <c:idx val="0"/>
          <c:order val="0"/>
          <c:tx>
            <c:strRef>
              <c:f>Dashboard!C23</c:f>
              <c:strCache>
                <c:ptCount val="1"/>
                <c:pt idx="0">
                  <c:v>Spent this year</c:v>
                </c:pt>
              </c:strCache>
            </c:strRef>
          </c:tx>
          <c:spPr>
            <a:solidFill>
              <a:srgbClr val="4f81bd"/>
            </a:solidFill>
            <a:ln w="0">
              <a:noFill/>
            </a:ln>
          </c:spPr>
          <c:explosion val="0"/>
          <c:dPt>
            <c:idx val="0"/>
            <c:spPr>
              <a:solidFill>
                <a:srgbClr val="1f2a44"/>
              </a:solidFill>
              <a:ln w="0">
                <a:noFill/>
              </a:ln>
            </c:spPr>
          </c:dPt>
          <c:dPt>
            <c:idx val="1"/>
            <c:spPr>
              <a:solidFill>
                <a:srgbClr val="2f6f5e"/>
              </a:solidFill>
              <a:ln w="0">
                <a:noFill/>
              </a:ln>
            </c:spPr>
          </c:dPt>
          <c:dPt>
            <c:idx val="2"/>
            <c:spPr>
              <a:solidFill>
                <a:srgbClr val="8fb8a8"/>
              </a:solidFill>
              <a:ln w="0">
                <a:noFill/>
              </a:ln>
            </c:spPr>
          </c:dPt>
          <c:dPt>
            <c:idx val="3"/>
            <c:spPr>
              <a:solidFill>
                <a:srgbClr val="c2410c"/>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Dashboard!$B$24:$B$27</c:f>
              <c:strCache>
                <c:ptCount val="4"/>
                <c:pt idx="0">
                  <c:v>Needs</c:v>
                </c:pt>
                <c:pt idx="1">
                  <c:v>Wants</c:v>
                </c:pt>
                <c:pt idx="2">
                  <c:v>Savings</c:v>
                </c:pt>
                <c:pt idx="3">
                  <c:v>Debt</c:v>
                </c:pt>
              </c:strCache>
            </c:strRef>
          </c:cat>
          <c:val>
            <c:numRef>
              <c:f>Dashboard!$C$24:$C$27</c:f>
              <c:numCache>
                <c:formatCode>\$#,##0.00;[RED]"-$"#,##0.00;\$0.00</c:formatCode>
                <c:ptCount val="4"/>
                <c:pt idx="0">
                  <c:v>1523.6</c:v>
                </c:pt>
                <c:pt idx="1">
                  <c:v>238.49</c:v>
                </c:pt>
                <c:pt idx="2">
                  <c:v>200</c:v>
                </c:pt>
                <c:pt idx="3">
                  <c:v>150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36</xdr:row>
      <xdr:rowOff>0</xdr:rowOff>
    </xdr:from>
    <xdr:to>
      <xdr:col>5</xdr:col>
      <xdr:colOff>1037160</xdr:colOff>
      <xdr:row>50</xdr:row>
      <xdr:rowOff>32760</xdr:rowOff>
    </xdr:to>
    <xdr:graphicFrame>
      <xdr:nvGraphicFramePr>
        <xdr:cNvPr id="0" name="Chart 1"/>
        <xdr:cNvGraphicFramePr/>
      </xdr:nvGraphicFramePr>
      <xdr:xfrm>
        <a:off x="211320" y="741996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21</xdr:row>
      <xdr:rowOff>0</xdr:rowOff>
    </xdr:from>
    <xdr:to>
      <xdr:col>6</xdr:col>
      <xdr:colOff>858240</xdr:colOff>
      <xdr:row>33</xdr:row>
      <xdr:rowOff>175320</xdr:rowOff>
    </xdr:to>
    <xdr:graphicFrame>
      <xdr:nvGraphicFramePr>
        <xdr:cNvPr id="1" name="Chart 2"/>
        <xdr:cNvGraphicFramePr/>
      </xdr:nvGraphicFramePr>
      <xdr:xfrm>
        <a:off x="2960280" y="4324320"/>
        <a:ext cx="39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W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34"/>
    <col collapsed="false" customWidth="true" hidden="false" outlineLevel="0" max="4" min="4" style="0" width="14"/>
    <col collapsed="false" customWidth="true" hidden="false" outlineLevel="0" max="5" min="5" style="0" width="60"/>
    <col collapsed="false" customWidth="true" hidden="false" outlineLevel="0" max="19" min="6" style="0" width="14"/>
    <col collapsed="false" customWidth="true" hidden="true" outlineLevel="0" max="23" min="20" style="0" width="14"/>
    <col collapsed="false" customWidth="true" hidden="false" outlineLevel="0" max="29" min="24" style="0" width="14"/>
  </cols>
  <sheetData>
    <row r="2" customFormat="false" ht="33.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C4" s="3" t="s">
        <v>2</v>
      </c>
      <c r="D4" s="3" t="s">
        <v>3</v>
      </c>
      <c r="E4" s="3" t="s">
        <v>4</v>
      </c>
      <c r="F4" s="3" t="s">
        <v>5</v>
      </c>
      <c r="G4" s="3" t="s">
        <v>6</v>
      </c>
      <c r="H4" s="3" t="s">
        <v>7</v>
      </c>
      <c r="I4" s="3" t="s">
        <v>8</v>
      </c>
      <c r="J4" s="3" t="s">
        <v>9</v>
      </c>
    </row>
    <row r="6" customFormat="false" ht="75" hidden="false" customHeight="true" outlineLevel="0" collapsed="false">
      <c r="B6" s="4" t="n">
        <v>1</v>
      </c>
      <c r="C6" s="5" t="s">
        <v>10</v>
      </c>
      <c r="D6" s="6" t="s">
        <v>11</v>
      </c>
      <c r="E6" s="6"/>
      <c r="T6" s="7" t="s">
        <v>12</v>
      </c>
      <c r="U6" s="7" t="n">
        <f aca="false">SUMPRODUCT((January!$E$7:$E$86&lt;&gt;"")*(January!$D$7:$D$86&lt;&gt;"")*(COUNTIF(Categories,January!$D$7:$D$86)=0))</f>
        <v>0</v>
      </c>
      <c r="V6" s="7" t="n">
        <f aca="false">SUMPRODUCT((January!$E$7:$E$86&lt;&gt;"")*(January!$D$7:$D$86=""))</f>
        <v>0</v>
      </c>
      <c r="W6" s="7" t="n">
        <f aca="false">IF(U6&gt;0,1,0)</f>
        <v>0</v>
      </c>
    </row>
    <row r="7" customFormat="false" ht="45" hidden="false" customHeight="true" outlineLevel="0" collapsed="false">
      <c r="B7" s="4" t="n">
        <v>2</v>
      </c>
      <c r="C7" s="5" t="s">
        <v>13</v>
      </c>
      <c r="D7" s="6" t="s">
        <v>14</v>
      </c>
      <c r="E7" s="6"/>
      <c r="T7" s="7" t="s">
        <v>15</v>
      </c>
      <c r="U7" s="7" t="n">
        <f aca="false">SUMPRODUCT((February!$E$7:$E$86&lt;&gt;"")*(February!$D$7:$D$86&lt;&gt;"")*(COUNTIF(Categories,February!$D$7:$D$86)=0))</f>
        <v>0</v>
      </c>
      <c r="V7" s="7" t="n">
        <f aca="false">SUMPRODUCT((February!$E$7:$E$86&lt;&gt;"")*(February!$D$7:$D$86=""))</f>
        <v>0</v>
      </c>
      <c r="W7" s="7" t="n">
        <f aca="false">IF(U7&gt;0,1,0)</f>
        <v>0</v>
      </c>
    </row>
    <row r="8" customFormat="false" ht="45" hidden="false" customHeight="true" outlineLevel="0" collapsed="false">
      <c r="B8" s="4" t="n">
        <v>3</v>
      </c>
      <c r="C8" s="5" t="s">
        <v>16</v>
      </c>
      <c r="D8" s="6" t="s">
        <v>17</v>
      </c>
      <c r="E8" s="6"/>
      <c r="T8" s="7" t="s">
        <v>18</v>
      </c>
      <c r="U8" s="7" t="n">
        <f aca="false">SUMPRODUCT((March!$E$7:$E$86&lt;&gt;"")*(March!$D$7:$D$86&lt;&gt;"")*(COUNTIF(Categories,March!$D$7:$D$86)=0))</f>
        <v>0</v>
      </c>
      <c r="V8" s="7" t="n">
        <f aca="false">SUMPRODUCT((March!$E$7:$E$86&lt;&gt;"")*(March!$D$7:$D$86=""))</f>
        <v>0</v>
      </c>
      <c r="W8" s="7" t="n">
        <f aca="false">IF(U8&gt;0,1,0)</f>
        <v>0</v>
      </c>
    </row>
    <row r="9" customFormat="false" ht="75" hidden="false" customHeight="true" outlineLevel="0" collapsed="false">
      <c r="B9" s="4" t="n">
        <v>4</v>
      </c>
      <c r="C9" s="5" t="s">
        <v>19</v>
      </c>
      <c r="D9" s="6" t="s">
        <v>20</v>
      </c>
      <c r="E9" s="6"/>
      <c r="T9" s="7" t="s">
        <v>21</v>
      </c>
      <c r="U9" s="7" t="n">
        <f aca="false">SUMPRODUCT((April!$E$7:$E$86&lt;&gt;"")*(April!$D$7:$D$86&lt;&gt;"")*(COUNTIF(Categories,April!$D$7:$D$86)=0))</f>
        <v>0</v>
      </c>
      <c r="V9" s="7" t="n">
        <f aca="false">SUMPRODUCT((April!$E$7:$E$86&lt;&gt;"")*(April!$D$7:$D$86=""))</f>
        <v>0</v>
      </c>
      <c r="W9" s="7" t="n">
        <f aca="false">IF(U9&gt;0,1,0)</f>
        <v>0</v>
      </c>
    </row>
    <row r="10" customFormat="false" ht="45" hidden="false" customHeight="true" outlineLevel="0" collapsed="false">
      <c r="B10" s="4" t="n">
        <v>5</v>
      </c>
      <c r="C10" s="5" t="s">
        <v>22</v>
      </c>
      <c r="D10" s="6" t="s">
        <v>23</v>
      </c>
      <c r="E10" s="6"/>
      <c r="T10" s="7" t="s">
        <v>24</v>
      </c>
      <c r="U10" s="7" t="n">
        <f aca="false">SUMPRODUCT((May!$E$7:$E$86&lt;&gt;"")*(May!$D$7:$D$86&lt;&gt;"")*(COUNTIF(Categories,May!$D$7:$D$86)=0))</f>
        <v>0</v>
      </c>
      <c r="V10" s="7" t="n">
        <f aca="false">SUMPRODUCT((May!$E$7:$E$86&lt;&gt;"")*(May!$D$7:$D$86=""))</f>
        <v>0</v>
      </c>
      <c r="W10" s="7" t="n">
        <f aca="false">IF(U10&gt;0,1,0)</f>
        <v>0</v>
      </c>
    </row>
    <row r="11" customFormat="false" ht="15" hidden="false" customHeight="false" outlineLevel="0" collapsed="false">
      <c r="T11" s="0" t="s">
        <v>25</v>
      </c>
      <c r="U11" s="0" t="n">
        <f aca="false">SUMPRODUCT((June!$E$7:$E$86&lt;&gt;"")*(June!$D$7:$D$86&lt;&gt;"")*(COUNTIF(Categories,June!$D$7:$D$86)=0))</f>
        <v>0</v>
      </c>
      <c r="V11" s="0" t="n">
        <f aca="false">SUMPRODUCT((June!$E$7:$E$86&lt;&gt;"")*(June!$D$7:$D$86=""))</f>
        <v>0</v>
      </c>
      <c r="W11" s="0" t="n">
        <f aca="false">IF(U11&gt;0,1,0)</f>
        <v>0</v>
      </c>
    </row>
    <row r="12" customFormat="false" ht="17.35" hidden="false" customHeight="false" outlineLevel="0" collapsed="false">
      <c r="C12" s="8" t="s">
        <v>26</v>
      </c>
      <c r="E12" s="9" t="s">
        <v>27</v>
      </c>
      <c r="T12" s="7" t="s">
        <v>28</v>
      </c>
      <c r="U12" s="7" t="n">
        <f aca="false">SUMPRODUCT((July!$E$7:$E$86&lt;&gt;"")*(July!$D$7:$D$86&lt;&gt;"")*(COUNTIF(Categories,July!$D$7:$D$86)=0))</f>
        <v>0</v>
      </c>
      <c r="V12" s="7" t="n">
        <f aca="false">SUMPRODUCT((July!$E$7:$E$86&lt;&gt;"")*(July!$D$7:$D$86=""))</f>
        <v>0</v>
      </c>
      <c r="W12" s="7" t="n">
        <f aca="false">IF(U12&gt;0,1,0)</f>
        <v>0</v>
      </c>
    </row>
    <row r="13" customFormat="false" ht="21.75" hidden="false" customHeight="true" outlineLevel="0" collapsed="false">
      <c r="C13" s="10" t="s">
        <v>29</v>
      </c>
      <c r="D13" s="10" t="s">
        <v>30</v>
      </c>
      <c r="E13" s="10" t="s">
        <v>31</v>
      </c>
      <c r="T13" s="7" t="s">
        <v>32</v>
      </c>
      <c r="U13" s="7" t="n">
        <f aca="false">SUMPRODUCT((August!$E$7:$E$86&lt;&gt;"")*(August!$D$7:$D$86&lt;&gt;"")*(COUNTIF(Categories,August!$D$7:$D$86)=0))</f>
        <v>0</v>
      </c>
      <c r="V13" s="7" t="n">
        <f aca="false">SUMPRODUCT((August!$E$7:$E$86&lt;&gt;"")*(August!$D$7:$D$86=""))</f>
        <v>0</v>
      </c>
      <c r="W13" s="7" t="n">
        <f aca="false">IF(U13&gt;0,1,0)</f>
        <v>0</v>
      </c>
    </row>
    <row r="14" customFormat="false" ht="15" hidden="false" customHeight="false" outlineLevel="0" collapsed="false">
      <c r="C14" s="11" t="s">
        <v>33</v>
      </c>
      <c r="D14" s="12" t="str">
        <f aca="false">IF(Setup!$C$18&gt;0,"Done","To do")</f>
        <v>Done</v>
      </c>
      <c r="E14" s="13" t="str">
        <f aca="false">IF(Setup!$C$18&gt;0,"","Add your take-home pay in Setup")</f>
        <v/>
      </c>
      <c r="T14" s="7" t="s">
        <v>34</v>
      </c>
      <c r="U14" s="7" t="n">
        <f aca="false">SUMPRODUCT((September!$E$7:$E$86&lt;&gt;"")*(September!$D$7:$D$86&lt;&gt;"")*(COUNTIF(Categories,September!$D$7:$D$86)=0))</f>
        <v>0</v>
      </c>
      <c r="V14" s="7" t="n">
        <f aca="false">SUMPRODUCT((September!$E$7:$E$86&lt;&gt;"")*(September!$D$7:$D$86=""))</f>
        <v>0</v>
      </c>
      <c r="W14" s="7" t="n">
        <f aca="false">IF(U14&gt;0,1,0)</f>
        <v>0</v>
      </c>
    </row>
    <row r="15" customFormat="false" ht="15" hidden="false" customHeight="false" outlineLevel="0" collapsed="false">
      <c r="C15" s="11" t="s">
        <v>35</v>
      </c>
      <c r="D15" s="12" t="str">
        <f aca="false">IF(ROUND(Setup!$G$41,2)=0,"Done","To do")</f>
        <v>Done</v>
      </c>
      <c r="E15" s="13" t="str">
        <f aca="false">IF(ROUND(Setup!$G$41,2)&gt;0,"You have "&amp;TEXT(Setup!$G$41,"$#,##0.00")&amp;" not budgeted yet",IF(ROUND(Setup!$G$41,2)&lt;0,"Over by "&amp;TEXT(-Setup!$G$41,"$#,##0.00")&amp;": lower a budget",""))</f>
        <v/>
      </c>
      <c r="T15" s="7" t="s">
        <v>36</v>
      </c>
      <c r="U15" s="7" t="n">
        <f aca="false">SUMPRODUCT((October!$E$7:$E$86&lt;&gt;"")*(October!$D$7:$D$86&lt;&gt;"")*(COUNTIF(Categories,October!$D$7:$D$86)=0))</f>
        <v>0</v>
      </c>
      <c r="V15" s="7" t="n">
        <f aca="false">SUMPRODUCT((October!$E$7:$E$86&lt;&gt;"")*(October!$D$7:$D$86=""))</f>
        <v>0</v>
      </c>
      <c r="W15" s="7" t="n">
        <f aca="false">IF(U15&gt;0,1,0)</f>
        <v>0</v>
      </c>
    </row>
    <row r="16" customFormat="false" ht="15" hidden="false" customHeight="false" outlineLevel="0" collapsed="false">
      <c r="C16" s="11" t="s">
        <v>37</v>
      </c>
      <c r="D16" s="12" t="str">
        <f aca="false">IF(COUNTIFS(Setup!$E$10:$E$39,"&lt;&gt;",Setup!$F$10:$F$39,"")=0,"Done","To do")</f>
        <v>Done</v>
      </c>
      <c r="E16" s="13" t="str">
        <f aca="false">IF(COUNTIFS(Setup!$E$10:$E$39,"&lt;&gt;",Setup!$F$10:$F$39,"")=0,"",COUNTIFS(Setup!$E$10:$E$39,"&lt;&gt;",Setup!$F$10:$F$39,"")&amp;" categories need a group: pick Needs, Wants, Savings or Debt in Setup")</f>
        <v/>
      </c>
      <c r="T16" s="7" t="s">
        <v>38</v>
      </c>
      <c r="U16" s="7" t="n">
        <f aca="false">SUMPRODUCT((November!$E$7:$E$86&lt;&gt;"")*(November!$D$7:$D$86&lt;&gt;"")*(COUNTIF(Categories,November!$D$7:$D$86)=0))</f>
        <v>0</v>
      </c>
      <c r="V16" s="7" t="n">
        <f aca="false">SUMPRODUCT((November!$E$7:$E$86&lt;&gt;"")*(November!$D$7:$D$86=""))</f>
        <v>0</v>
      </c>
      <c r="W16" s="7" t="n">
        <f aca="false">IF(U16&gt;0,1,0)</f>
        <v>0</v>
      </c>
    </row>
    <row r="17" customFormat="false" ht="15" hidden="false" customHeight="false" outlineLevel="0" collapsed="false">
      <c r="C17" s="11" t="s">
        <v>39</v>
      </c>
      <c r="D17" s="12" t="str">
        <f aca="false">IF(SUM(U6:U17)=0,"Done","To do")</f>
        <v>Done</v>
      </c>
      <c r="E17" s="13" t="str">
        <f aca="false">IF(SUM(U6:U17)=0,"",SUM(U6:U17)&amp;" entries use a category not in Setup (first in "&amp;INDEX(T6:T17,MATCH(1,W6:W17,0))&amp;"): pick their category again")</f>
        <v/>
      </c>
      <c r="T17" s="7" t="s">
        <v>40</v>
      </c>
      <c r="U17" s="7" t="n">
        <f aca="false">SUMPRODUCT((December!$E$7:$E$86&lt;&gt;"")*(December!$D$7:$D$86&lt;&gt;"")*(COUNTIF(Categories,December!$D$7:$D$86)=0))</f>
        <v>0</v>
      </c>
      <c r="V17" s="7" t="n">
        <f aca="false">SUMPRODUCT((December!$E$7:$E$86&lt;&gt;"")*(December!$D$7:$D$86=""))</f>
        <v>0</v>
      </c>
      <c r="W17" s="7" t="n">
        <f aca="false">IF(U17&gt;0,1,0)</f>
        <v>0</v>
      </c>
    </row>
    <row r="18" customFormat="false" ht="15" hidden="false" customHeight="false" outlineLevel="0" collapsed="false">
      <c r="C18" s="11" t="s">
        <v>41</v>
      </c>
      <c r="D18" s="12" t="str">
        <f aca="false">IF(SUM(V6:V17)=0,"Done","To do")</f>
        <v>Done</v>
      </c>
      <c r="E18" s="13" t="str">
        <f aca="false">IF(SUM(V6:V17)=0,"",SUM(V6:V17)&amp;" amounts have no category, so they are not counted yet")</f>
        <v/>
      </c>
    </row>
    <row r="19" customFormat="false" ht="15" hidden="false" customHeight="false" outlineLevel="0" collapsed="false">
      <c r="C19" s="11" t="s">
        <v>42</v>
      </c>
      <c r="D19" s="12" t="str">
        <f aca="false">IF((COUNTIFS(January!$B$7:$B$86,DATE(2027,1,3),January!$C$7:$C$86,"Rent",January!$E$7:$E$86,1200)+COUNTIFS(January!$B$7:$B$86,DATE(2027,1,4),January!$C$7:$C$86,"Weekly shop",January!$E$7:$E$86,112.4)+COUNTIFS(January!$B$7:$B$86,DATE(2027,1,6),January!$C$7:$C$86,"Bus pass",January!$E$7:$E$86,60)+COUNTIFS(January!$B$7:$B$86,DATE(2027,1,9),January!$C$7:$C$86,"Pizza night",January!$E$7:$E$86,38.5)+COUNTIFS(January!$B$7:$B$86,DATE(2027,1,11),January!$C$7:$C$86,"Weekly shop",January!$E$7:$E$86,96.2)+COUNTIFS(January!$B$7:$B$86,DATE(2027,1,14),January!$C$7:$C$86,"Phone bill",January!$E$7:$E$86,55)+COUNTIFS(January!$B$7:$B$86,DATE(2027,1,15),January!$C$7:$C$86,"To emergency fund",January!$E$7:$E$86,200)+COUNTIFS(January!$B$7:$B$86,DATE(2027,1,18),January!$C$7:$C$86,"Streaming",January!$E$7:$E$86,15.99)+COUNTIFS(January!$B$7:$B$86,DATE(2027,1,21),January!$C$7:$C$86,"Card payment",January!$E$7:$E$86,150)+COUNTIFS(January!$B$7:$B$86,DATE(2027,1,24),January!$C$7:$C$86,"Concert tickets",January!$E$7:$E$86,120)+COUNTIFS(January!$B$7:$B$86,DATE(2027,1,25),January!$C$7:$C$86,"Shoes",January!$E$7:$E$86,64))=0,"Done","To do")</f>
        <v>To do</v>
      </c>
      <c r="E19" s="13" t="str">
        <f aca="false">IF((COUNTIFS(January!$B$7:$B$86,DATE(2027,1,3),January!$C$7:$C$86,"Rent",January!$E$7:$E$86,1200)+COUNTIFS(January!$B$7:$B$86,DATE(2027,1,4),January!$C$7:$C$86,"Weekly shop",January!$E$7:$E$86,112.4)+COUNTIFS(January!$B$7:$B$86,DATE(2027,1,6),January!$C$7:$C$86,"Bus pass",January!$E$7:$E$86,60)+COUNTIFS(January!$B$7:$B$86,DATE(2027,1,9),January!$C$7:$C$86,"Pizza night",January!$E$7:$E$86,38.5)+COUNTIFS(January!$B$7:$B$86,DATE(2027,1,11),January!$C$7:$C$86,"Weekly shop",January!$E$7:$E$86,96.2)+COUNTIFS(January!$B$7:$B$86,DATE(2027,1,14),January!$C$7:$C$86,"Phone bill",January!$E$7:$E$86,55)+COUNTIFS(January!$B$7:$B$86,DATE(2027,1,15),January!$C$7:$C$86,"To emergency fund",January!$E$7:$E$86,200)+COUNTIFS(January!$B$7:$B$86,DATE(2027,1,18),January!$C$7:$C$86,"Streaming",January!$E$7:$E$86,15.99)+COUNTIFS(January!$B$7:$B$86,DATE(2027,1,21),January!$C$7:$C$86,"Card payment",January!$E$7:$E$86,150)+COUNTIFS(January!$B$7:$B$86,DATE(2027,1,24),January!$C$7:$C$86,"Concert tickets",January!$E$7:$E$86,120)+COUNTIFS(January!$B$7:$B$86,DATE(2027,1,25),January!$C$7:$C$86,"Shoes",January!$E$7:$E$86,64))=0,"","Clear the example in January (step 2)")</f>
        <v>Clear the example in January (step 2)</v>
      </c>
    </row>
    <row r="20" customFormat="false" ht="15" hidden="false" customHeight="false" outlineLevel="0" collapsed="false">
      <c r="C20" s="11" t="s">
        <v>43</v>
      </c>
      <c r="D20" s="12" t="s">
        <v>44</v>
      </c>
      <c r="E20" s="13" t="str">
        <f aca="false">IF(Setup!$G$40=0,"",TEXT(SUMIF(Setup!$F$10:$F$39,"Needs",Setup!$G$10:$G$39)/Setup!$G$40,"0%")&amp;" needs, "&amp;TEXT(SUMIF(Setup!$F$10:$F$39,"Wants",Setup!$G$10:$G$39)/Setup!$G$40,"0%")&amp;" wants, "&amp;TEXT((SUMIF(Setup!$F$10:$F$39,"Savings",Setup!$G$10:$G$39)+SUMIF(Setup!$F$10:$F$39,"Debt",Setup!$G$10:$G$39))/Setup!$G$40,"0%")&amp;" savings and debt (50/30/20 guide)")</f>
        <v>67% needs, 13% wants, 20% savings and debt (50/30/20 guide)</v>
      </c>
    </row>
    <row r="22" customFormat="false" ht="15" hidden="false" customHeight="false" outlineLevel="0" collapsed="false">
      <c r="C22" s="14" t="s">
        <v>45</v>
      </c>
    </row>
    <row r="23" customFormat="false" ht="15" hidden="false" customHeight="false" outlineLevel="0" collapsed="false">
      <c r="C23" s="15" t="s">
        <v>12</v>
      </c>
      <c r="D23" s="15" t="s">
        <v>15</v>
      </c>
      <c r="E23" s="15" t="s">
        <v>18</v>
      </c>
    </row>
    <row r="24" customFormat="false" ht="15" hidden="false" customHeight="false" outlineLevel="0" collapsed="false">
      <c r="C24" s="15" t="s">
        <v>21</v>
      </c>
      <c r="D24" s="15" t="s">
        <v>24</v>
      </c>
      <c r="E24" s="15" t="s">
        <v>25</v>
      </c>
    </row>
    <row r="25" customFormat="false" ht="15" hidden="false" customHeight="false" outlineLevel="0" collapsed="false">
      <c r="C25" s="15" t="s">
        <v>28</v>
      </c>
      <c r="D25" s="15" t="s">
        <v>32</v>
      </c>
      <c r="E25" s="15" t="s">
        <v>34</v>
      </c>
    </row>
    <row r="26" customFormat="false" ht="15" hidden="false" customHeight="false" outlineLevel="0" collapsed="false">
      <c r="C26" s="15" t="s">
        <v>36</v>
      </c>
      <c r="D26" s="15" t="s">
        <v>38</v>
      </c>
      <c r="E26" s="15" t="s">
        <v>40</v>
      </c>
    </row>
    <row r="28" customFormat="false" ht="15" hidden="false" customHeight="false" outlineLevel="0" collapsed="false">
      <c r="C28" s="14" t="s">
        <v>46</v>
      </c>
    </row>
    <row r="29" customFormat="false" ht="30" hidden="false" customHeight="true" outlineLevel="0" collapsed="false">
      <c r="C29" s="16" t="s">
        <v>47</v>
      </c>
      <c r="D29" s="16"/>
      <c r="E29" s="16"/>
    </row>
    <row r="30" customFormat="false" ht="30" hidden="false" customHeight="true" outlineLevel="0" collapsed="false">
      <c r="C30" s="16" t="s">
        <v>48</v>
      </c>
      <c r="D30" s="16"/>
      <c r="E30" s="16"/>
    </row>
    <row r="31" customFormat="false" ht="15" hidden="false" customHeight="true" outlineLevel="0" collapsed="false">
      <c r="C31" s="16" t="s">
        <v>49</v>
      </c>
      <c r="D31" s="16"/>
      <c r="E31" s="16"/>
    </row>
    <row r="32" customFormat="false" ht="30" hidden="false" customHeight="true" outlineLevel="0" collapsed="false">
      <c r="C32" s="16" t="s">
        <v>50</v>
      </c>
      <c r="D32" s="16"/>
      <c r="E32" s="16"/>
    </row>
    <row r="34" customFormat="false" ht="15" hidden="false" customHeight="false" outlineLevel="0" collapsed="false">
      <c r="C34" s="14" t="s">
        <v>51</v>
      </c>
    </row>
    <row r="35" customFormat="false" ht="15" hidden="false" customHeight="false" outlineLevel="0" collapsed="false">
      <c r="C35" s="17" t="s">
        <v>52</v>
      </c>
      <c r="E35" s="18" t="s">
        <v>53</v>
      </c>
    </row>
    <row r="36" customFormat="false" ht="15" hidden="false" customHeight="false" outlineLevel="0" collapsed="false">
      <c r="C36" s="19" t="s">
        <v>54</v>
      </c>
      <c r="E36" s="18" t="s">
        <v>55</v>
      </c>
    </row>
    <row r="38" customFormat="false" ht="60" hidden="false" customHeight="true" outlineLevel="0" collapsed="false">
      <c r="C38" s="20" t="s">
        <v>56</v>
      </c>
      <c r="D38" s="16" t="s">
        <v>57</v>
      </c>
      <c r="E38" s="16"/>
    </row>
  </sheetData>
  <sheetProtection sheet="true" formatColumns="false" formatRows="false" insertRows="false" sort="false" autoFilter="false"/>
  <mergeCells count="10">
    <mergeCell ref="D6:E6"/>
    <mergeCell ref="D7:E7"/>
    <mergeCell ref="D8:E8"/>
    <mergeCell ref="D9:E9"/>
    <mergeCell ref="D10:E10"/>
    <mergeCell ref="C29:E29"/>
    <mergeCell ref="C30:E30"/>
    <mergeCell ref="C31:E31"/>
    <mergeCell ref="C32:E32"/>
    <mergeCell ref="D38:E38"/>
  </mergeCells>
  <conditionalFormatting sqref="D14:D20">
    <cfRule type="expression" priority="2" aboveAverage="0" equalAverage="0" bottom="0" percent="0" rank="0" text="" dxfId="0">
      <formula>D14="Done"</formula>
    </cfRule>
    <cfRule type="expression" priority="3" aboveAverage="0" equalAverage="0" bottom="0" percent="0" rank="0" text="" dxfId="1">
      <formula>D14="To do"</formula>
    </cfRule>
  </conditionalFormatting>
  <hyperlinks>
    <hyperlink ref="C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 ref="C23" location="'January'!A1" display="January"/>
    <hyperlink ref="D23" location="'February'!A1" display="February"/>
    <hyperlink ref="E23" location="'March'!A1" display="March"/>
    <hyperlink ref="C24" location="'April'!A1" display="April"/>
    <hyperlink ref="D24" location="'May'!A1" display="May"/>
    <hyperlink ref="E24" location="'June'!A1" display="June"/>
    <hyperlink ref="C25" location="'July'!A1" display="July"/>
    <hyperlink ref="D25" location="'August'!A1" display="August"/>
    <hyperlink ref="E25" location="'September'!A1" display="September"/>
    <hyperlink ref="C26" location="'October'!A1" display="October"/>
    <hyperlink ref="D26" location="'November'!A1" display="November"/>
    <hyperlink ref="E26" location="'December'!A1" display="Decembe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5" min="3" style="0" width="14"/>
    <col collapsed="false" customWidth="true" hidden="false" outlineLevel="0" max="6" min="6" style="0" width="16"/>
    <col collapsed="false" customWidth="true" hidden="false" outlineLevel="0" max="7" min="7" style="0" width="14"/>
    <col collapsed="false" customWidth="true" hidden="false" outlineLevel="0" max="8" min="8" style="0" width="24"/>
    <col collapsed="false" customWidth="true" hidden="false" outlineLevel="0" max="9" min="9" style="0" width="16"/>
    <col collapsed="false" customWidth="true" hidden="true" outlineLevel="0" max="10" min="10" style="0" width="14"/>
    <col collapsed="false" customWidth="true" hidden="false" outlineLevel="0" max="29" min="11" style="0" width="14"/>
  </cols>
  <sheetData>
    <row r="2" customFormat="false" ht="33.75" hidden="false" customHeight="true" outlineLevel="0" collapsed="false">
      <c r="B2" s="1" t="s">
        <v>3</v>
      </c>
    </row>
    <row r="3" customFormat="false" ht="15" hidden="false" customHeight="false" outlineLevel="0" collapsed="false">
      <c r="B3" s="2" t="s">
        <v>58</v>
      </c>
    </row>
    <row r="4" customFormat="false" ht="15" hidden="false" customHeight="false" outlineLevel="0" collapsed="false">
      <c r="B4" s="3" t="s">
        <v>2</v>
      </c>
      <c r="C4" s="3" t="s">
        <v>3</v>
      </c>
      <c r="D4" s="3" t="s">
        <v>4</v>
      </c>
      <c r="E4" s="3" t="s">
        <v>5</v>
      </c>
      <c r="F4" s="3" t="s">
        <v>6</v>
      </c>
      <c r="G4" s="3" t="s">
        <v>7</v>
      </c>
      <c r="H4" s="3" t="s">
        <v>8</v>
      </c>
      <c r="I4" s="3" t="s">
        <v>9</v>
      </c>
    </row>
    <row r="6" customFormat="false" ht="21.75" hidden="false" customHeight="true" outlineLevel="0" collapsed="false">
      <c r="B6" s="10" t="s">
        <v>59</v>
      </c>
      <c r="C6" s="10" t="s">
        <v>60</v>
      </c>
      <c r="D6" s="10" t="s">
        <v>61</v>
      </c>
      <c r="E6" s="10" t="s">
        <v>62</v>
      </c>
      <c r="F6" s="10" t="s">
        <v>63</v>
      </c>
      <c r="H6" s="10" t="s">
        <v>64</v>
      </c>
      <c r="I6" s="10" t="s">
        <v>65</v>
      </c>
    </row>
    <row r="7" customFormat="false" ht="15" hidden="false" customHeight="false" outlineLevel="0" collapsed="false">
      <c r="B7" s="21" t="s">
        <v>12</v>
      </c>
      <c r="C7" s="22" t="n">
        <f aca="false">IF(COUNT(January!$E$7:$E$86)&gt;0,January!H6,"")</f>
        <v>3900</v>
      </c>
      <c r="D7" s="22" t="n">
        <f aca="false">IF(COUNT(January!$E$7:$E$86)&gt;0,January!H7,"")</f>
        <v>2112.09</v>
      </c>
      <c r="E7" s="22" t="n">
        <f aca="false">IF(COUNT(January!$E$7:$E$86)&gt;0,January!H8,"")</f>
        <v>1787.91</v>
      </c>
      <c r="F7" s="22" t="n">
        <f aca="false">IF(COUNT(January!$E$7:$E$86)&gt;0,January!H9,"")</f>
        <v>350</v>
      </c>
      <c r="H7" s="11" t="str">
        <f aca="false">IF(Setup!E10="","",Setup!E10)</f>
        <v>Rent or mortgage</v>
      </c>
      <c r="I7" s="22" t="n">
        <f aca="false">IF(H7="","",SUMIFS(January!$E$7:$E$86,January!$D$7:$D$86,H7)+SUMIFS(February!$E$7:$E$86,February!$D$7:$D$86,H7)+SUMIFS(March!$E$7:$E$86,March!$D$7:$D$86,H7)+SUMIFS(April!$E$7:$E$86,April!$D$7:$D$86,H7)+SUMIFS(May!$E$7:$E$86,May!$D$7:$D$86,H7)+SUMIFS(June!$E$7:$E$86,June!$D$7:$D$86,H7)+SUMIFS(July!$E$7:$E$86,July!$D$7:$D$86,H7)+SUMIFS(August!$E$7:$E$86,August!$D$7:$D$86,H7)+SUMIFS(September!$E$7:$E$86,September!$D$7:$D$86,H7)+SUMIFS(October!$E$7:$E$86,October!$D$7:$D$86,H7)+SUMIFS(November!$E$7:$E$86,November!$D$7:$D$86,H7)+SUMIFS(December!$E$7:$E$86,December!$D$7:$D$86,H7))</f>
        <v>1200</v>
      </c>
      <c r="J7" s="11" t="str">
        <f aca="false">IF(H7="","",Setup!F10)</f>
        <v>Needs</v>
      </c>
    </row>
    <row r="8" customFormat="false" ht="15" hidden="false" customHeight="false" outlineLevel="0" collapsed="false">
      <c r="B8" s="21" t="s">
        <v>15</v>
      </c>
      <c r="C8" s="22" t="str">
        <f aca="false">IF(COUNT(February!$E$7:$E$86)&gt;0,February!H6,"")</f>
        <v/>
      </c>
      <c r="D8" s="22" t="str">
        <f aca="false">IF(COUNT(February!$E$7:$E$86)&gt;0,February!H7,"")</f>
        <v/>
      </c>
      <c r="E8" s="22" t="str">
        <f aca="false">IF(COUNT(February!$E$7:$E$86)&gt;0,February!H8,"")</f>
        <v/>
      </c>
      <c r="F8" s="22" t="str">
        <f aca="false">IF(COUNT(February!$E$7:$E$86)&gt;0,February!H9,"")</f>
        <v/>
      </c>
      <c r="H8" s="11" t="str">
        <f aca="false">IF(Setup!E11="","",Setup!E11)</f>
        <v>Utilities</v>
      </c>
      <c r="I8" s="22" t="n">
        <f aca="false">IF(H8="","",SUMIFS(January!$E$7:$E$86,January!$D$7:$D$86,H8)+SUMIFS(February!$E$7:$E$86,February!$D$7:$D$86,H8)+SUMIFS(March!$E$7:$E$86,March!$D$7:$D$86,H8)+SUMIFS(April!$E$7:$E$86,April!$D$7:$D$86,H8)+SUMIFS(May!$E$7:$E$86,May!$D$7:$D$86,H8)+SUMIFS(June!$E$7:$E$86,June!$D$7:$D$86,H8)+SUMIFS(July!$E$7:$E$86,July!$D$7:$D$86,H8)+SUMIFS(August!$E$7:$E$86,August!$D$7:$D$86,H8)+SUMIFS(September!$E$7:$E$86,September!$D$7:$D$86,H8)+SUMIFS(October!$E$7:$E$86,October!$D$7:$D$86,H8)+SUMIFS(November!$E$7:$E$86,November!$D$7:$D$86,H8)+SUMIFS(December!$E$7:$E$86,December!$D$7:$D$86,H8))</f>
        <v>0</v>
      </c>
      <c r="J8" s="11" t="str">
        <f aca="false">IF(H8="","",Setup!F11)</f>
        <v>Needs</v>
      </c>
    </row>
    <row r="9" customFormat="false" ht="15" hidden="false" customHeight="false" outlineLevel="0" collapsed="false">
      <c r="B9" s="21" t="s">
        <v>18</v>
      </c>
      <c r="C9" s="22" t="str">
        <f aca="false">IF(COUNT(March!$E$7:$E$86)&gt;0,March!H6,"")</f>
        <v/>
      </c>
      <c r="D9" s="22" t="str">
        <f aca="false">IF(COUNT(March!$E$7:$E$86)&gt;0,March!H7,"")</f>
        <v/>
      </c>
      <c r="E9" s="22" t="str">
        <f aca="false">IF(COUNT(March!$E$7:$E$86)&gt;0,March!H8,"")</f>
        <v/>
      </c>
      <c r="F9" s="22" t="str">
        <f aca="false">IF(COUNT(March!$E$7:$E$86)&gt;0,March!H9,"")</f>
        <v/>
      </c>
      <c r="H9" s="11" t="str">
        <f aca="false">IF(Setup!E12="","",Setup!E12)</f>
        <v>Groceries</v>
      </c>
      <c r="I9" s="22" t="n">
        <f aca="false">IF(H9="","",SUMIFS(January!$E$7:$E$86,January!$D$7:$D$86,H9)+SUMIFS(February!$E$7:$E$86,February!$D$7:$D$86,H9)+SUMIFS(March!$E$7:$E$86,March!$D$7:$D$86,H9)+SUMIFS(April!$E$7:$E$86,April!$D$7:$D$86,H9)+SUMIFS(May!$E$7:$E$86,May!$D$7:$D$86,H9)+SUMIFS(June!$E$7:$E$86,June!$D$7:$D$86,H9)+SUMIFS(July!$E$7:$E$86,July!$D$7:$D$86,H9)+SUMIFS(August!$E$7:$E$86,August!$D$7:$D$86,H9)+SUMIFS(September!$E$7:$E$86,September!$D$7:$D$86,H9)+SUMIFS(October!$E$7:$E$86,October!$D$7:$D$86,H9)+SUMIFS(November!$E$7:$E$86,November!$D$7:$D$86,H9)+SUMIFS(December!$E$7:$E$86,December!$D$7:$D$86,H9))</f>
        <v>208.6</v>
      </c>
      <c r="J9" s="11" t="str">
        <f aca="false">IF(H9="","",Setup!F12)</f>
        <v>Needs</v>
      </c>
    </row>
    <row r="10" customFormat="false" ht="15" hidden="false" customHeight="false" outlineLevel="0" collapsed="false">
      <c r="B10" s="21" t="s">
        <v>21</v>
      </c>
      <c r="C10" s="22" t="str">
        <f aca="false">IF(COUNT(April!$E$7:$E$86)&gt;0,April!H6,"")</f>
        <v/>
      </c>
      <c r="D10" s="22" t="str">
        <f aca="false">IF(COUNT(April!$E$7:$E$86)&gt;0,April!H7,"")</f>
        <v/>
      </c>
      <c r="E10" s="22" t="str">
        <f aca="false">IF(COUNT(April!$E$7:$E$86)&gt;0,April!H8,"")</f>
        <v/>
      </c>
      <c r="F10" s="22" t="str">
        <f aca="false">IF(COUNT(April!$E$7:$E$86)&gt;0,April!H9,"")</f>
        <v/>
      </c>
      <c r="H10" s="11" t="str">
        <f aca="false">IF(Setup!E13="","",Setup!E13)</f>
        <v>Transport</v>
      </c>
      <c r="I10" s="22" t="n">
        <f aca="false">IF(H10="","",SUMIFS(January!$E$7:$E$86,January!$D$7:$D$86,H10)+SUMIFS(February!$E$7:$E$86,February!$D$7:$D$86,H10)+SUMIFS(March!$E$7:$E$86,March!$D$7:$D$86,H10)+SUMIFS(April!$E$7:$E$86,April!$D$7:$D$86,H10)+SUMIFS(May!$E$7:$E$86,May!$D$7:$D$86,H10)+SUMIFS(June!$E$7:$E$86,June!$D$7:$D$86,H10)+SUMIFS(July!$E$7:$E$86,July!$D$7:$D$86,H10)+SUMIFS(August!$E$7:$E$86,August!$D$7:$D$86,H10)+SUMIFS(September!$E$7:$E$86,September!$D$7:$D$86,H10)+SUMIFS(October!$E$7:$E$86,October!$D$7:$D$86,H10)+SUMIFS(November!$E$7:$E$86,November!$D$7:$D$86,H10)+SUMIFS(December!$E$7:$E$86,December!$D$7:$D$86,H10))</f>
        <v>60</v>
      </c>
      <c r="J10" s="11" t="str">
        <f aca="false">IF(H10="","",Setup!F13)</f>
        <v>Needs</v>
      </c>
    </row>
    <row r="11" customFormat="false" ht="15" hidden="false" customHeight="false" outlineLevel="0" collapsed="false">
      <c r="B11" s="21" t="s">
        <v>24</v>
      </c>
      <c r="C11" s="22" t="str">
        <f aca="false">IF(COUNT(May!$E$7:$E$86)&gt;0,May!H6,"")</f>
        <v/>
      </c>
      <c r="D11" s="22" t="str">
        <f aca="false">IF(COUNT(May!$E$7:$E$86)&gt;0,May!H7,"")</f>
        <v/>
      </c>
      <c r="E11" s="22" t="str">
        <f aca="false">IF(COUNT(May!$E$7:$E$86)&gt;0,May!H8,"")</f>
        <v/>
      </c>
      <c r="F11" s="22" t="str">
        <f aca="false">IF(COUNT(May!$E$7:$E$86)&gt;0,May!H9,"")</f>
        <v/>
      </c>
      <c r="H11" s="11" t="str">
        <f aca="false">IF(Setup!E14="","",Setup!E14)</f>
        <v>Insurance</v>
      </c>
      <c r="I11" s="22" t="n">
        <f aca="false">IF(H11="","",SUMIFS(January!$E$7:$E$86,January!$D$7:$D$86,H11)+SUMIFS(February!$E$7:$E$86,February!$D$7:$D$86,H11)+SUMIFS(March!$E$7:$E$86,March!$D$7:$D$86,H11)+SUMIFS(April!$E$7:$E$86,April!$D$7:$D$86,H11)+SUMIFS(May!$E$7:$E$86,May!$D$7:$D$86,H11)+SUMIFS(June!$E$7:$E$86,June!$D$7:$D$86,H11)+SUMIFS(July!$E$7:$E$86,July!$D$7:$D$86,H11)+SUMIFS(August!$E$7:$E$86,August!$D$7:$D$86,H11)+SUMIFS(September!$E$7:$E$86,September!$D$7:$D$86,H11)+SUMIFS(October!$E$7:$E$86,October!$D$7:$D$86,H11)+SUMIFS(November!$E$7:$E$86,November!$D$7:$D$86,H11)+SUMIFS(December!$E$7:$E$86,December!$D$7:$D$86,H11))</f>
        <v>0</v>
      </c>
      <c r="J11" s="11" t="str">
        <f aca="false">IF(H11="","",Setup!F14)</f>
        <v>Needs</v>
      </c>
    </row>
    <row r="12" customFormat="false" ht="15" hidden="false" customHeight="false" outlineLevel="0" collapsed="false">
      <c r="B12" s="21" t="s">
        <v>25</v>
      </c>
      <c r="C12" s="22" t="str">
        <f aca="false">IF(COUNT(June!$E$7:$E$86)&gt;0,June!H6,"")</f>
        <v/>
      </c>
      <c r="D12" s="22" t="str">
        <f aca="false">IF(COUNT(June!$E$7:$E$86)&gt;0,June!H7,"")</f>
        <v/>
      </c>
      <c r="E12" s="22" t="str">
        <f aca="false">IF(COUNT(June!$E$7:$E$86)&gt;0,June!H8,"")</f>
        <v/>
      </c>
      <c r="F12" s="22" t="str">
        <f aca="false">IF(COUNT(June!$E$7:$E$86)&gt;0,June!H9,"")</f>
        <v/>
      </c>
      <c r="H12" s="11" t="str">
        <f aca="false">IF(Setup!E15="","",Setup!E15)</f>
        <v>Phone and internet</v>
      </c>
      <c r="I12" s="22" t="n">
        <f aca="false">IF(H12="","",SUMIFS(January!$E$7:$E$86,January!$D$7:$D$86,H12)+SUMIFS(February!$E$7:$E$86,February!$D$7:$D$86,H12)+SUMIFS(March!$E$7:$E$86,March!$D$7:$D$86,H12)+SUMIFS(April!$E$7:$E$86,April!$D$7:$D$86,H12)+SUMIFS(May!$E$7:$E$86,May!$D$7:$D$86,H12)+SUMIFS(June!$E$7:$E$86,June!$D$7:$D$86,H12)+SUMIFS(July!$E$7:$E$86,July!$D$7:$D$86,H12)+SUMIFS(August!$E$7:$E$86,August!$D$7:$D$86,H12)+SUMIFS(September!$E$7:$E$86,September!$D$7:$D$86,H12)+SUMIFS(October!$E$7:$E$86,October!$D$7:$D$86,H12)+SUMIFS(November!$E$7:$E$86,November!$D$7:$D$86,H12)+SUMIFS(December!$E$7:$E$86,December!$D$7:$D$86,H12))</f>
        <v>55</v>
      </c>
      <c r="J12" s="11" t="str">
        <f aca="false">IF(H12="","",Setup!F15)</f>
        <v>Needs</v>
      </c>
    </row>
    <row r="13" customFormat="false" ht="15" hidden="false" customHeight="false" outlineLevel="0" collapsed="false">
      <c r="B13" s="21" t="s">
        <v>28</v>
      </c>
      <c r="C13" s="22" t="str">
        <f aca="false">IF(COUNT(July!$E$7:$E$86)&gt;0,July!H6,"")</f>
        <v/>
      </c>
      <c r="D13" s="22" t="str">
        <f aca="false">IF(COUNT(July!$E$7:$E$86)&gt;0,July!H7,"")</f>
        <v/>
      </c>
      <c r="E13" s="22" t="str">
        <f aca="false">IF(COUNT(July!$E$7:$E$86)&gt;0,July!H8,"")</f>
        <v/>
      </c>
      <c r="F13" s="22" t="str">
        <f aca="false">IF(COUNT(July!$E$7:$E$86)&gt;0,July!H9,"")</f>
        <v/>
      </c>
      <c r="H13" s="11" t="str">
        <f aca="false">IF(Setup!E16="","",Setup!E16)</f>
        <v>Medical</v>
      </c>
      <c r="I13" s="22" t="n">
        <f aca="false">IF(H13="","",SUMIFS(January!$E$7:$E$86,January!$D$7:$D$86,H13)+SUMIFS(February!$E$7:$E$86,February!$D$7:$D$86,H13)+SUMIFS(March!$E$7:$E$86,March!$D$7:$D$86,H13)+SUMIFS(April!$E$7:$E$86,April!$D$7:$D$86,H13)+SUMIFS(May!$E$7:$E$86,May!$D$7:$D$86,H13)+SUMIFS(June!$E$7:$E$86,June!$D$7:$D$86,H13)+SUMIFS(July!$E$7:$E$86,July!$D$7:$D$86,H13)+SUMIFS(August!$E$7:$E$86,August!$D$7:$D$86,H13)+SUMIFS(September!$E$7:$E$86,September!$D$7:$D$86,H13)+SUMIFS(October!$E$7:$E$86,October!$D$7:$D$86,H13)+SUMIFS(November!$E$7:$E$86,November!$D$7:$D$86,H13)+SUMIFS(December!$E$7:$E$86,December!$D$7:$D$86,H13))</f>
        <v>0</v>
      </c>
      <c r="J13" s="11" t="str">
        <f aca="false">IF(H13="","",Setup!F16)</f>
        <v>Needs</v>
      </c>
    </row>
    <row r="14" customFormat="false" ht="15" hidden="false" customHeight="false" outlineLevel="0" collapsed="false">
      <c r="B14" s="21" t="s">
        <v>32</v>
      </c>
      <c r="C14" s="22" t="str">
        <f aca="false">IF(COUNT(August!$E$7:$E$86)&gt;0,August!H6,"")</f>
        <v/>
      </c>
      <c r="D14" s="22" t="str">
        <f aca="false">IF(COUNT(August!$E$7:$E$86)&gt;0,August!H7,"")</f>
        <v/>
      </c>
      <c r="E14" s="22" t="str">
        <f aca="false">IF(COUNT(August!$E$7:$E$86)&gt;0,August!H8,"")</f>
        <v/>
      </c>
      <c r="F14" s="22" t="str">
        <f aca="false">IF(COUNT(August!$E$7:$E$86)&gt;0,August!H9,"")</f>
        <v/>
      </c>
      <c r="H14" s="11" t="str">
        <f aca="false">IF(Setup!E17="","",Setup!E17)</f>
        <v>Eating out</v>
      </c>
      <c r="I14" s="22" t="n">
        <f aca="false">IF(H14="","",SUMIFS(January!$E$7:$E$86,January!$D$7:$D$86,H14)+SUMIFS(February!$E$7:$E$86,February!$D$7:$D$86,H14)+SUMIFS(March!$E$7:$E$86,March!$D$7:$D$86,H14)+SUMIFS(April!$E$7:$E$86,April!$D$7:$D$86,H14)+SUMIFS(May!$E$7:$E$86,May!$D$7:$D$86,H14)+SUMIFS(June!$E$7:$E$86,June!$D$7:$D$86,H14)+SUMIFS(July!$E$7:$E$86,July!$D$7:$D$86,H14)+SUMIFS(August!$E$7:$E$86,August!$D$7:$D$86,H14)+SUMIFS(September!$E$7:$E$86,September!$D$7:$D$86,H14)+SUMIFS(October!$E$7:$E$86,October!$D$7:$D$86,H14)+SUMIFS(November!$E$7:$E$86,November!$D$7:$D$86,H14)+SUMIFS(December!$E$7:$E$86,December!$D$7:$D$86,H14))</f>
        <v>38.5</v>
      </c>
      <c r="J14" s="11" t="str">
        <f aca="false">IF(H14="","",Setup!F17)</f>
        <v>Wants</v>
      </c>
    </row>
    <row r="15" customFormat="false" ht="15" hidden="false" customHeight="false" outlineLevel="0" collapsed="false">
      <c r="B15" s="21" t="s">
        <v>34</v>
      </c>
      <c r="C15" s="22" t="str">
        <f aca="false">IF(COUNT(September!$E$7:$E$86)&gt;0,September!H6,"")</f>
        <v/>
      </c>
      <c r="D15" s="22" t="str">
        <f aca="false">IF(COUNT(September!$E$7:$E$86)&gt;0,September!H7,"")</f>
        <v/>
      </c>
      <c r="E15" s="22" t="str">
        <f aca="false">IF(COUNT(September!$E$7:$E$86)&gt;0,September!H8,"")</f>
        <v/>
      </c>
      <c r="F15" s="22" t="str">
        <f aca="false">IF(COUNT(September!$E$7:$E$86)&gt;0,September!H9,"")</f>
        <v/>
      </c>
      <c r="H15" s="11" t="str">
        <f aca="false">IF(Setup!E18="","",Setup!E18)</f>
        <v>Shopping</v>
      </c>
      <c r="I15" s="22" t="n">
        <f aca="false">IF(H15="","",SUMIFS(January!$E$7:$E$86,January!$D$7:$D$86,H15)+SUMIFS(February!$E$7:$E$86,February!$D$7:$D$86,H15)+SUMIFS(March!$E$7:$E$86,March!$D$7:$D$86,H15)+SUMIFS(April!$E$7:$E$86,April!$D$7:$D$86,H15)+SUMIFS(May!$E$7:$E$86,May!$D$7:$D$86,H15)+SUMIFS(June!$E$7:$E$86,June!$D$7:$D$86,H15)+SUMIFS(July!$E$7:$E$86,July!$D$7:$D$86,H15)+SUMIFS(August!$E$7:$E$86,August!$D$7:$D$86,H15)+SUMIFS(September!$E$7:$E$86,September!$D$7:$D$86,H15)+SUMIFS(October!$E$7:$E$86,October!$D$7:$D$86,H15)+SUMIFS(November!$E$7:$E$86,November!$D$7:$D$86,H15)+SUMIFS(December!$E$7:$E$86,December!$D$7:$D$86,H15))</f>
        <v>64</v>
      </c>
      <c r="J15" s="11" t="str">
        <f aca="false">IF(H15="","",Setup!F18)</f>
        <v>Wants</v>
      </c>
    </row>
    <row r="16" customFormat="false" ht="15" hidden="false" customHeight="false" outlineLevel="0" collapsed="false">
      <c r="B16" s="21" t="s">
        <v>36</v>
      </c>
      <c r="C16" s="22" t="str">
        <f aca="false">IF(COUNT(October!$E$7:$E$86)&gt;0,October!H6,"")</f>
        <v/>
      </c>
      <c r="D16" s="22" t="str">
        <f aca="false">IF(COUNT(October!$E$7:$E$86)&gt;0,October!H7,"")</f>
        <v/>
      </c>
      <c r="E16" s="22" t="str">
        <f aca="false">IF(COUNT(October!$E$7:$E$86)&gt;0,October!H8,"")</f>
        <v/>
      </c>
      <c r="F16" s="22" t="str">
        <f aca="false">IF(COUNT(October!$E$7:$E$86)&gt;0,October!H9,"")</f>
        <v/>
      </c>
      <c r="H16" s="11" t="str">
        <f aca="false">IF(Setup!E19="","",Setup!E19)</f>
        <v>Subscriptions</v>
      </c>
      <c r="I16" s="22" t="n">
        <f aca="false">IF(H16="","",SUMIFS(January!$E$7:$E$86,January!$D$7:$D$86,H16)+SUMIFS(February!$E$7:$E$86,February!$D$7:$D$86,H16)+SUMIFS(March!$E$7:$E$86,March!$D$7:$D$86,H16)+SUMIFS(April!$E$7:$E$86,April!$D$7:$D$86,H16)+SUMIFS(May!$E$7:$E$86,May!$D$7:$D$86,H16)+SUMIFS(June!$E$7:$E$86,June!$D$7:$D$86,H16)+SUMIFS(July!$E$7:$E$86,July!$D$7:$D$86,H16)+SUMIFS(August!$E$7:$E$86,August!$D$7:$D$86,H16)+SUMIFS(September!$E$7:$E$86,September!$D$7:$D$86,H16)+SUMIFS(October!$E$7:$E$86,October!$D$7:$D$86,H16)+SUMIFS(November!$E$7:$E$86,November!$D$7:$D$86,H16)+SUMIFS(December!$E$7:$E$86,December!$D$7:$D$86,H16))</f>
        <v>15.99</v>
      </c>
      <c r="J16" s="11" t="str">
        <f aca="false">IF(H16="","",Setup!F19)</f>
        <v>Wants</v>
      </c>
    </row>
    <row r="17" customFormat="false" ht="15" hidden="false" customHeight="false" outlineLevel="0" collapsed="false">
      <c r="B17" s="21" t="s">
        <v>38</v>
      </c>
      <c r="C17" s="22" t="str">
        <f aca="false">IF(COUNT(November!$E$7:$E$86)&gt;0,November!H6,"")</f>
        <v/>
      </c>
      <c r="D17" s="22" t="str">
        <f aca="false">IF(COUNT(November!$E$7:$E$86)&gt;0,November!H7,"")</f>
        <v/>
      </c>
      <c r="E17" s="22" t="str">
        <f aca="false">IF(COUNT(November!$E$7:$E$86)&gt;0,November!H8,"")</f>
        <v/>
      </c>
      <c r="F17" s="22" t="str">
        <f aca="false">IF(COUNT(November!$E$7:$E$86)&gt;0,November!H9,"")</f>
        <v/>
      </c>
      <c r="H17" s="11" t="str">
        <f aca="false">IF(Setup!E20="","",Setup!E20)</f>
        <v>Fun</v>
      </c>
      <c r="I17" s="22" t="n">
        <f aca="false">IF(H17="","",SUMIFS(January!$E$7:$E$86,January!$D$7:$D$86,H17)+SUMIFS(February!$E$7:$E$86,February!$D$7:$D$86,H17)+SUMIFS(March!$E$7:$E$86,March!$D$7:$D$86,H17)+SUMIFS(April!$E$7:$E$86,April!$D$7:$D$86,H17)+SUMIFS(May!$E$7:$E$86,May!$D$7:$D$86,H17)+SUMIFS(June!$E$7:$E$86,June!$D$7:$D$86,H17)+SUMIFS(July!$E$7:$E$86,July!$D$7:$D$86,H17)+SUMIFS(August!$E$7:$E$86,August!$D$7:$D$86,H17)+SUMIFS(September!$E$7:$E$86,September!$D$7:$D$86,H17)+SUMIFS(October!$E$7:$E$86,October!$D$7:$D$86,H17)+SUMIFS(November!$E$7:$E$86,November!$D$7:$D$86,H17)+SUMIFS(December!$E$7:$E$86,December!$D$7:$D$86,H17))</f>
        <v>120</v>
      </c>
      <c r="J17" s="11" t="str">
        <f aca="false">IF(H17="","",Setup!F20)</f>
        <v>Wants</v>
      </c>
    </row>
    <row r="18" customFormat="false" ht="15" hidden="false" customHeight="false" outlineLevel="0" collapsed="false">
      <c r="B18" s="21" t="s">
        <v>40</v>
      </c>
      <c r="C18" s="22" t="str">
        <f aca="false">IF(COUNT(December!$E$7:$E$86)&gt;0,December!H6,"")</f>
        <v/>
      </c>
      <c r="D18" s="22" t="str">
        <f aca="false">IF(COUNT(December!$E$7:$E$86)&gt;0,December!H7,"")</f>
        <v/>
      </c>
      <c r="E18" s="22" t="str">
        <f aca="false">IF(COUNT(December!$E$7:$E$86)&gt;0,December!H8,"")</f>
        <v/>
      </c>
      <c r="F18" s="22" t="str">
        <f aca="false">IF(COUNT(December!$E$7:$E$86)&gt;0,December!H9,"")</f>
        <v/>
      </c>
      <c r="H18" s="11" t="str">
        <f aca="false">IF(Setup!E21="","",Setup!E21)</f>
        <v>Gifts</v>
      </c>
      <c r="I18" s="22" t="n">
        <f aca="false">IF(H18="","",SUMIFS(January!$E$7:$E$86,January!$D$7:$D$86,H18)+SUMIFS(February!$E$7:$E$86,February!$D$7:$D$86,H18)+SUMIFS(March!$E$7:$E$86,March!$D$7:$D$86,H18)+SUMIFS(April!$E$7:$E$86,April!$D$7:$D$86,H18)+SUMIFS(May!$E$7:$E$86,May!$D$7:$D$86,H18)+SUMIFS(June!$E$7:$E$86,June!$D$7:$D$86,H18)+SUMIFS(July!$E$7:$E$86,July!$D$7:$D$86,H18)+SUMIFS(August!$E$7:$E$86,August!$D$7:$D$86,H18)+SUMIFS(September!$E$7:$E$86,September!$D$7:$D$86,H18)+SUMIFS(October!$E$7:$E$86,October!$D$7:$D$86,H18)+SUMIFS(November!$E$7:$E$86,November!$D$7:$D$86,H18)+SUMIFS(December!$E$7:$E$86,December!$D$7:$D$86,H18))</f>
        <v>0</v>
      </c>
      <c r="J18" s="11" t="str">
        <f aca="false">IF(H18="","",Setup!F21)</f>
        <v>Wants</v>
      </c>
    </row>
    <row r="19" customFormat="false" ht="15" hidden="false" customHeight="false" outlineLevel="0" collapsed="false">
      <c r="B19" s="19" t="s">
        <v>66</v>
      </c>
      <c r="C19" s="23" t="n">
        <f aca="false">SUM(C7:C18)</f>
        <v>3900</v>
      </c>
      <c r="D19" s="23" t="n">
        <f aca="false">SUM(D7:D18)</f>
        <v>2112.09</v>
      </c>
      <c r="E19" s="23" t="n">
        <f aca="false">SUM(E7:E18)</f>
        <v>1787.91</v>
      </c>
      <c r="F19" s="23" t="n">
        <f aca="false">SUM(F7:F18)</f>
        <v>350</v>
      </c>
      <c r="H19" s="11" t="str">
        <f aca="false">IF(Setup!E22="","",Setup!E22)</f>
        <v>Personal care</v>
      </c>
      <c r="I19" s="22" t="n">
        <f aca="false">IF(H19="","",SUMIFS(January!$E$7:$E$86,January!$D$7:$D$86,H19)+SUMIFS(February!$E$7:$E$86,February!$D$7:$D$86,H19)+SUMIFS(March!$E$7:$E$86,March!$D$7:$D$86,H19)+SUMIFS(April!$E$7:$E$86,April!$D$7:$D$86,H19)+SUMIFS(May!$E$7:$E$86,May!$D$7:$D$86,H19)+SUMIFS(June!$E$7:$E$86,June!$D$7:$D$86,H19)+SUMIFS(July!$E$7:$E$86,July!$D$7:$D$86,H19)+SUMIFS(August!$E$7:$E$86,August!$D$7:$D$86,H19)+SUMIFS(September!$E$7:$E$86,September!$D$7:$D$86,H19)+SUMIFS(October!$E$7:$E$86,October!$D$7:$D$86,H19)+SUMIFS(November!$E$7:$E$86,November!$D$7:$D$86,H19)+SUMIFS(December!$E$7:$E$86,December!$D$7:$D$86,H19))</f>
        <v>0</v>
      </c>
      <c r="J19" s="11" t="str">
        <f aca="false">IF(H19="","",Setup!F22)</f>
        <v>Wants</v>
      </c>
    </row>
    <row r="20" customFormat="false" ht="15" hidden="false" customHeight="false" outlineLevel="0" collapsed="false">
      <c r="B20" s="19" t="s">
        <v>67</v>
      </c>
      <c r="C20" s="24" t="n">
        <f aca="false">IF(C19=0,"",F19/C19)</f>
        <v>0.0897435897435897</v>
      </c>
      <c r="H20" s="11" t="str">
        <f aca="false">IF(Setup!E23="","",Setup!E23)</f>
        <v>Emergency fund</v>
      </c>
      <c r="I20" s="22" t="n">
        <f aca="false">IF(H20="","",SUMIFS(January!$E$7:$E$86,January!$D$7:$D$86,H20)+SUMIFS(February!$E$7:$E$86,February!$D$7:$D$86,H20)+SUMIFS(March!$E$7:$E$86,March!$D$7:$D$86,H20)+SUMIFS(April!$E$7:$E$86,April!$D$7:$D$86,H20)+SUMIFS(May!$E$7:$E$86,May!$D$7:$D$86,H20)+SUMIFS(June!$E$7:$E$86,June!$D$7:$D$86,H20)+SUMIFS(July!$E$7:$E$86,July!$D$7:$D$86,H20)+SUMIFS(August!$E$7:$E$86,August!$D$7:$D$86,H20)+SUMIFS(September!$E$7:$E$86,September!$D$7:$D$86,H20)+SUMIFS(October!$E$7:$E$86,October!$D$7:$D$86,H20)+SUMIFS(November!$E$7:$E$86,November!$D$7:$D$86,H20)+SUMIFS(December!$E$7:$E$86,December!$D$7:$D$86,H20))</f>
        <v>200</v>
      </c>
      <c r="J20" s="11" t="str">
        <f aca="false">IF(H20="","",Setup!F23)</f>
        <v>Savings</v>
      </c>
    </row>
    <row r="21" customFormat="false" ht="15" hidden="false" customHeight="false" outlineLevel="0" collapsed="false">
      <c r="H21" s="11" t="str">
        <f aca="false">IF(Setup!E24="","",Setup!E24)</f>
        <v>Sinking funds</v>
      </c>
      <c r="I21" s="22" t="n">
        <f aca="false">IF(H21="","",SUMIFS(January!$E$7:$E$86,January!$D$7:$D$86,H21)+SUMIFS(February!$E$7:$E$86,February!$D$7:$D$86,H21)+SUMIFS(March!$E$7:$E$86,March!$D$7:$D$86,H21)+SUMIFS(April!$E$7:$E$86,April!$D$7:$D$86,H21)+SUMIFS(May!$E$7:$E$86,May!$D$7:$D$86,H21)+SUMIFS(June!$E$7:$E$86,June!$D$7:$D$86,H21)+SUMIFS(July!$E$7:$E$86,July!$D$7:$D$86,H21)+SUMIFS(August!$E$7:$E$86,August!$D$7:$D$86,H21)+SUMIFS(September!$E$7:$E$86,September!$D$7:$D$86,H21)+SUMIFS(October!$E$7:$E$86,October!$D$7:$D$86,H21)+SUMIFS(November!$E$7:$E$86,November!$D$7:$D$86,H21)+SUMIFS(December!$E$7:$E$86,December!$D$7:$D$86,H21))</f>
        <v>0</v>
      </c>
      <c r="J21" s="11" t="str">
        <f aca="false">IF(H21="","",Setup!F24)</f>
        <v>Savings</v>
      </c>
    </row>
    <row r="22" customFormat="false" ht="15" hidden="false" customHeight="false" outlineLevel="0" collapsed="false">
      <c r="H22" s="11" t="str">
        <f aca="false">IF(Setup!E25="","",Setup!E25)</f>
        <v>Retirement</v>
      </c>
      <c r="I22" s="22" t="n">
        <f aca="false">IF(H22="","",SUMIFS(January!$E$7:$E$86,January!$D$7:$D$86,H22)+SUMIFS(February!$E$7:$E$86,February!$D$7:$D$86,H22)+SUMIFS(March!$E$7:$E$86,March!$D$7:$D$86,H22)+SUMIFS(April!$E$7:$E$86,April!$D$7:$D$86,H22)+SUMIFS(May!$E$7:$E$86,May!$D$7:$D$86,H22)+SUMIFS(June!$E$7:$E$86,June!$D$7:$D$86,H22)+SUMIFS(July!$E$7:$E$86,July!$D$7:$D$86,H22)+SUMIFS(August!$E$7:$E$86,August!$D$7:$D$86,H22)+SUMIFS(September!$E$7:$E$86,September!$D$7:$D$86,H22)+SUMIFS(October!$E$7:$E$86,October!$D$7:$D$86,H22)+SUMIFS(November!$E$7:$E$86,November!$D$7:$D$86,H22)+SUMIFS(December!$E$7:$E$86,December!$D$7:$D$86,H22))</f>
        <v>0</v>
      </c>
      <c r="J22" s="11" t="str">
        <f aca="false">IF(H22="","",Setup!F25)</f>
        <v>Savings</v>
      </c>
    </row>
    <row r="23" customFormat="false" ht="33.75" hidden="false" customHeight="true" outlineLevel="0" collapsed="false">
      <c r="B23" s="10" t="s">
        <v>68</v>
      </c>
      <c r="C23" s="10" t="s">
        <v>65</v>
      </c>
      <c r="H23" s="11" t="str">
        <f aca="false">IF(Setup!E26="","",Setup!E26)</f>
        <v>Credit card</v>
      </c>
      <c r="I23" s="22" t="n">
        <f aca="false">IF(H23="","",SUMIFS(January!$E$7:$E$86,January!$D$7:$D$86,H23)+SUMIFS(February!$E$7:$E$86,February!$D$7:$D$86,H23)+SUMIFS(March!$E$7:$E$86,March!$D$7:$D$86,H23)+SUMIFS(April!$E$7:$E$86,April!$D$7:$D$86,H23)+SUMIFS(May!$E$7:$E$86,May!$D$7:$D$86,H23)+SUMIFS(June!$E$7:$E$86,June!$D$7:$D$86,H23)+SUMIFS(July!$E$7:$E$86,July!$D$7:$D$86,H23)+SUMIFS(August!$E$7:$E$86,August!$D$7:$D$86,H23)+SUMIFS(September!$E$7:$E$86,September!$D$7:$D$86,H23)+SUMIFS(October!$E$7:$E$86,October!$D$7:$D$86,H23)+SUMIFS(November!$E$7:$E$86,November!$D$7:$D$86,H23)+SUMIFS(December!$E$7:$E$86,December!$D$7:$D$86,H23))</f>
        <v>150</v>
      </c>
      <c r="J23" s="11" t="str">
        <f aca="false">IF(H23="","",Setup!F26)</f>
        <v>Debt</v>
      </c>
    </row>
    <row r="24" customFormat="false" ht="15" hidden="false" customHeight="false" outlineLevel="0" collapsed="false">
      <c r="B24" s="11" t="s">
        <v>69</v>
      </c>
      <c r="C24" s="22" t="n">
        <f aca="false">SUMIF($J$7:$J$36,"Needs",$I$7:$I$36)</f>
        <v>1523.6</v>
      </c>
      <c r="H24" s="11" t="str">
        <f aca="false">IF(Setup!E27="","",Setup!E27)</f>
        <v>Student loan</v>
      </c>
      <c r="I24" s="22" t="n">
        <f aca="false">IF(H24="","",SUMIFS(January!$E$7:$E$86,January!$D$7:$D$86,H24)+SUMIFS(February!$E$7:$E$86,February!$D$7:$D$86,H24)+SUMIFS(March!$E$7:$E$86,March!$D$7:$D$86,H24)+SUMIFS(April!$E$7:$E$86,April!$D$7:$D$86,H24)+SUMIFS(May!$E$7:$E$86,May!$D$7:$D$86,H24)+SUMIFS(June!$E$7:$E$86,June!$D$7:$D$86,H24)+SUMIFS(July!$E$7:$E$86,July!$D$7:$D$86,H24)+SUMIFS(August!$E$7:$E$86,August!$D$7:$D$86,H24)+SUMIFS(September!$E$7:$E$86,September!$D$7:$D$86,H24)+SUMIFS(October!$E$7:$E$86,October!$D$7:$D$86,H24)+SUMIFS(November!$E$7:$E$86,November!$D$7:$D$86,H24)+SUMIFS(December!$E$7:$E$86,December!$D$7:$D$86,H24))</f>
        <v>0</v>
      </c>
      <c r="J24" s="11" t="str">
        <f aca="false">IF(H24="","",Setup!F27)</f>
        <v>Debt</v>
      </c>
    </row>
    <row r="25" customFormat="false" ht="15" hidden="false" customHeight="false" outlineLevel="0" collapsed="false">
      <c r="B25" s="11" t="s">
        <v>70</v>
      </c>
      <c r="C25" s="22" t="n">
        <f aca="false">SUMIF($J$7:$J$36,"Wants",$I$7:$I$36)</f>
        <v>238.49</v>
      </c>
      <c r="H25" s="11" t="str">
        <f aca="false">IF(Setup!E28="","",Setup!E28)</f>
        <v/>
      </c>
      <c r="I25" s="22" t="str">
        <f aca="false">IF(H25="","",SUMIFS(January!$E$7:$E$86,January!$D$7:$D$86,H25)+SUMIFS(February!$E$7:$E$86,February!$D$7:$D$86,H25)+SUMIFS(March!$E$7:$E$86,March!$D$7:$D$86,H25)+SUMIFS(April!$E$7:$E$86,April!$D$7:$D$86,H25)+SUMIFS(May!$E$7:$E$86,May!$D$7:$D$86,H25)+SUMIFS(June!$E$7:$E$86,June!$D$7:$D$86,H25)+SUMIFS(July!$E$7:$E$86,July!$D$7:$D$86,H25)+SUMIFS(August!$E$7:$E$86,August!$D$7:$D$86,H25)+SUMIFS(September!$E$7:$E$86,September!$D$7:$D$86,H25)+SUMIFS(October!$E$7:$E$86,October!$D$7:$D$86,H25)+SUMIFS(November!$E$7:$E$86,November!$D$7:$D$86,H25)+SUMIFS(December!$E$7:$E$86,December!$D$7:$D$86,H25))</f>
        <v/>
      </c>
      <c r="J25" s="11" t="str">
        <f aca="false">IF(H25="","",Setup!F28)</f>
        <v/>
      </c>
    </row>
    <row r="26" customFormat="false" ht="15" hidden="false" customHeight="false" outlineLevel="0" collapsed="false">
      <c r="B26" s="11" t="s">
        <v>9</v>
      </c>
      <c r="C26" s="22" t="n">
        <f aca="false">SUMIF($J$7:$J$36,"Savings",$I$7:$I$36)</f>
        <v>200</v>
      </c>
      <c r="H26" s="11" t="str">
        <f aca="false">IF(Setup!E29="","",Setup!E29)</f>
        <v/>
      </c>
      <c r="I26" s="22" t="str">
        <f aca="false">IF(H26="","",SUMIFS(January!$E$7:$E$86,January!$D$7:$D$86,H26)+SUMIFS(February!$E$7:$E$86,February!$D$7:$D$86,H26)+SUMIFS(March!$E$7:$E$86,March!$D$7:$D$86,H26)+SUMIFS(April!$E$7:$E$86,April!$D$7:$D$86,H26)+SUMIFS(May!$E$7:$E$86,May!$D$7:$D$86,H26)+SUMIFS(June!$E$7:$E$86,June!$D$7:$D$86,H26)+SUMIFS(July!$E$7:$E$86,July!$D$7:$D$86,H26)+SUMIFS(August!$E$7:$E$86,August!$D$7:$D$86,H26)+SUMIFS(September!$E$7:$E$86,September!$D$7:$D$86,H26)+SUMIFS(October!$E$7:$E$86,October!$D$7:$D$86,H26)+SUMIFS(November!$E$7:$E$86,November!$D$7:$D$86,H26)+SUMIFS(December!$E$7:$E$86,December!$D$7:$D$86,H26))</f>
        <v/>
      </c>
      <c r="J26" s="11" t="str">
        <f aca="false">IF(H26="","",Setup!F29)</f>
        <v/>
      </c>
    </row>
    <row r="27" customFormat="false" ht="15" hidden="false" customHeight="false" outlineLevel="0" collapsed="false">
      <c r="B27" s="11" t="s">
        <v>8</v>
      </c>
      <c r="C27" s="22" t="n">
        <f aca="false">SUMIF($J$7:$J$36,"Debt",$I$7:$I$36)</f>
        <v>150</v>
      </c>
      <c r="H27" s="11" t="str">
        <f aca="false">IF(Setup!E30="","",Setup!E30)</f>
        <v/>
      </c>
      <c r="I27" s="22" t="str">
        <f aca="false">IF(H27="","",SUMIFS(January!$E$7:$E$86,January!$D$7:$D$86,H27)+SUMIFS(February!$E$7:$E$86,February!$D$7:$D$86,H27)+SUMIFS(March!$E$7:$E$86,March!$D$7:$D$86,H27)+SUMIFS(April!$E$7:$E$86,April!$D$7:$D$86,H27)+SUMIFS(May!$E$7:$E$86,May!$D$7:$D$86,H27)+SUMIFS(June!$E$7:$E$86,June!$D$7:$D$86,H27)+SUMIFS(July!$E$7:$E$86,July!$D$7:$D$86,H27)+SUMIFS(August!$E$7:$E$86,August!$D$7:$D$86,H27)+SUMIFS(September!$E$7:$E$86,September!$D$7:$D$86,H27)+SUMIFS(October!$E$7:$E$86,October!$D$7:$D$86,H27)+SUMIFS(November!$E$7:$E$86,November!$D$7:$D$86,H27)+SUMIFS(December!$E$7:$E$86,December!$D$7:$D$86,H27))</f>
        <v/>
      </c>
      <c r="J27" s="11" t="str">
        <f aca="false">IF(H27="","",Setup!F30)</f>
        <v/>
      </c>
    </row>
    <row r="28" customFormat="false" ht="15" hidden="false" customHeight="false" outlineLevel="0" collapsed="false">
      <c r="H28" s="11" t="str">
        <f aca="false">IF(Setup!E31="","",Setup!E31)</f>
        <v/>
      </c>
      <c r="I28" s="22" t="str">
        <f aca="false">IF(H28="","",SUMIFS(January!$E$7:$E$86,January!$D$7:$D$86,H28)+SUMIFS(February!$E$7:$E$86,February!$D$7:$D$86,H28)+SUMIFS(March!$E$7:$E$86,March!$D$7:$D$86,H28)+SUMIFS(April!$E$7:$E$86,April!$D$7:$D$86,H28)+SUMIFS(May!$E$7:$E$86,May!$D$7:$D$86,H28)+SUMIFS(June!$E$7:$E$86,June!$D$7:$D$86,H28)+SUMIFS(July!$E$7:$E$86,July!$D$7:$D$86,H28)+SUMIFS(August!$E$7:$E$86,August!$D$7:$D$86,H28)+SUMIFS(September!$E$7:$E$86,September!$D$7:$D$86,H28)+SUMIFS(October!$E$7:$E$86,October!$D$7:$D$86,H28)+SUMIFS(November!$E$7:$E$86,November!$D$7:$D$86,H28)+SUMIFS(December!$E$7:$E$86,December!$D$7:$D$86,H28))</f>
        <v/>
      </c>
      <c r="J28" s="11" t="str">
        <f aca="false">IF(H28="","",Setup!F31)</f>
        <v/>
      </c>
    </row>
    <row r="29" customFormat="false" ht="15" hidden="false" customHeight="false" outlineLevel="0" collapsed="false">
      <c r="H29" s="11" t="str">
        <f aca="false">IF(Setup!E32="","",Setup!E32)</f>
        <v/>
      </c>
      <c r="I29" s="22" t="str">
        <f aca="false">IF(H29="","",SUMIFS(January!$E$7:$E$86,January!$D$7:$D$86,H29)+SUMIFS(February!$E$7:$E$86,February!$D$7:$D$86,H29)+SUMIFS(March!$E$7:$E$86,March!$D$7:$D$86,H29)+SUMIFS(April!$E$7:$E$86,April!$D$7:$D$86,H29)+SUMIFS(May!$E$7:$E$86,May!$D$7:$D$86,H29)+SUMIFS(June!$E$7:$E$86,June!$D$7:$D$86,H29)+SUMIFS(July!$E$7:$E$86,July!$D$7:$D$86,H29)+SUMIFS(August!$E$7:$E$86,August!$D$7:$D$86,H29)+SUMIFS(September!$E$7:$E$86,September!$D$7:$D$86,H29)+SUMIFS(October!$E$7:$E$86,October!$D$7:$D$86,H29)+SUMIFS(November!$E$7:$E$86,November!$D$7:$D$86,H29)+SUMIFS(December!$E$7:$E$86,December!$D$7:$D$86,H29))</f>
        <v/>
      </c>
      <c r="J29" s="11" t="str">
        <f aca="false">IF(H29="","",Setup!F32)</f>
        <v/>
      </c>
    </row>
    <row r="30" customFormat="false" ht="15" hidden="false" customHeight="false" outlineLevel="0" collapsed="false">
      <c r="H30" s="11" t="str">
        <f aca="false">IF(Setup!E33="","",Setup!E33)</f>
        <v/>
      </c>
      <c r="I30" s="22" t="str">
        <f aca="false">IF(H30="","",SUMIFS(January!$E$7:$E$86,January!$D$7:$D$86,H30)+SUMIFS(February!$E$7:$E$86,February!$D$7:$D$86,H30)+SUMIFS(March!$E$7:$E$86,March!$D$7:$D$86,H30)+SUMIFS(April!$E$7:$E$86,April!$D$7:$D$86,H30)+SUMIFS(May!$E$7:$E$86,May!$D$7:$D$86,H30)+SUMIFS(June!$E$7:$E$86,June!$D$7:$D$86,H30)+SUMIFS(July!$E$7:$E$86,July!$D$7:$D$86,H30)+SUMIFS(August!$E$7:$E$86,August!$D$7:$D$86,H30)+SUMIFS(September!$E$7:$E$86,September!$D$7:$D$86,H30)+SUMIFS(October!$E$7:$E$86,October!$D$7:$D$86,H30)+SUMIFS(November!$E$7:$E$86,November!$D$7:$D$86,H30)+SUMIFS(December!$E$7:$E$86,December!$D$7:$D$86,H30))</f>
        <v/>
      </c>
      <c r="J30" s="11" t="str">
        <f aca="false">IF(H30="","",Setup!F33)</f>
        <v/>
      </c>
    </row>
    <row r="31" customFormat="false" ht="15" hidden="false" customHeight="false" outlineLevel="0" collapsed="false">
      <c r="H31" s="11" t="str">
        <f aca="false">IF(Setup!E34="","",Setup!E34)</f>
        <v/>
      </c>
      <c r="I31" s="22" t="str">
        <f aca="false">IF(H31="","",SUMIFS(January!$E$7:$E$86,January!$D$7:$D$86,H31)+SUMIFS(February!$E$7:$E$86,February!$D$7:$D$86,H31)+SUMIFS(March!$E$7:$E$86,March!$D$7:$D$86,H31)+SUMIFS(April!$E$7:$E$86,April!$D$7:$D$86,H31)+SUMIFS(May!$E$7:$E$86,May!$D$7:$D$86,H31)+SUMIFS(June!$E$7:$E$86,June!$D$7:$D$86,H31)+SUMIFS(July!$E$7:$E$86,July!$D$7:$D$86,H31)+SUMIFS(August!$E$7:$E$86,August!$D$7:$D$86,H31)+SUMIFS(September!$E$7:$E$86,September!$D$7:$D$86,H31)+SUMIFS(October!$E$7:$E$86,October!$D$7:$D$86,H31)+SUMIFS(November!$E$7:$E$86,November!$D$7:$D$86,H31)+SUMIFS(December!$E$7:$E$86,December!$D$7:$D$86,H31))</f>
        <v/>
      </c>
      <c r="J31" s="11" t="str">
        <f aca="false">IF(H31="","",Setup!F34)</f>
        <v/>
      </c>
    </row>
    <row r="32" customFormat="false" ht="15" hidden="false" customHeight="false" outlineLevel="0" collapsed="false">
      <c r="H32" s="11" t="str">
        <f aca="false">IF(Setup!E35="","",Setup!E35)</f>
        <v/>
      </c>
      <c r="I32" s="22" t="str">
        <f aca="false">IF(H32="","",SUMIFS(January!$E$7:$E$86,January!$D$7:$D$86,H32)+SUMIFS(February!$E$7:$E$86,February!$D$7:$D$86,H32)+SUMIFS(March!$E$7:$E$86,March!$D$7:$D$86,H32)+SUMIFS(April!$E$7:$E$86,April!$D$7:$D$86,H32)+SUMIFS(May!$E$7:$E$86,May!$D$7:$D$86,H32)+SUMIFS(June!$E$7:$E$86,June!$D$7:$D$86,H32)+SUMIFS(July!$E$7:$E$86,July!$D$7:$D$86,H32)+SUMIFS(August!$E$7:$E$86,August!$D$7:$D$86,H32)+SUMIFS(September!$E$7:$E$86,September!$D$7:$D$86,H32)+SUMIFS(October!$E$7:$E$86,October!$D$7:$D$86,H32)+SUMIFS(November!$E$7:$E$86,November!$D$7:$D$86,H32)+SUMIFS(December!$E$7:$E$86,December!$D$7:$D$86,H32))</f>
        <v/>
      </c>
      <c r="J32" s="11" t="str">
        <f aca="false">IF(H32="","",Setup!F35)</f>
        <v/>
      </c>
    </row>
    <row r="33" customFormat="false" ht="15" hidden="false" customHeight="false" outlineLevel="0" collapsed="false">
      <c r="H33" s="11" t="str">
        <f aca="false">IF(Setup!E36="","",Setup!E36)</f>
        <v/>
      </c>
      <c r="I33" s="22" t="str">
        <f aca="false">IF(H33="","",SUMIFS(January!$E$7:$E$86,January!$D$7:$D$86,H33)+SUMIFS(February!$E$7:$E$86,February!$D$7:$D$86,H33)+SUMIFS(March!$E$7:$E$86,March!$D$7:$D$86,H33)+SUMIFS(April!$E$7:$E$86,April!$D$7:$D$86,H33)+SUMIFS(May!$E$7:$E$86,May!$D$7:$D$86,H33)+SUMIFS(June!$E$7:$E$86,June!$D$7:$D$86,H33)+SUMIFS(July!$E$7:$E$86,July!$D$7:$D$86,H33)+SUMIFS(August!$E$7:$E$86,August!$D$7:$D$86,H33)+SUMIFS(September!$E$7:$E$86,September!$D$7:$D$86,H33)+SUMIFS(October!$E$7:$E$86,October!$D$7:$D$86,H33)+SUMIFS(November!$E$7:$E$86,November!$D$7:$D$86,H33)+SUMIFS(December!$E$7:$E$86,December!$D$7:$D$86,H33))</f>
        <v/>
      </c>
      <c r="J33" s="11" t="str">
        <f aca="false">IF(H33="","",Setup!F36)</f>
        <v/>
      </c>
    </row>
    <row r="34" customFormat="false" ht="15" hidden="false" customHeight="false" outlineLevel="0" collapsed="false">
      <c r="H34" s="11" t="str">
        <f aca="false">IF(Setup!E37="","",Setup!E37)</f>
        <v/>
      </c>
      <c r="I34" s="22" t="str">
        <f aca="false">IF(H34="","",SUMIFS(January!$E$7:$E$86,January!$D$7:$D$86,H34)+SUMIFS(February!$E$7:$E$86,February!$D$7:$D$86,H34)+SUMIFS(March!$E$7:$E$86,March!$D$7:$D$86,H34)+SUMIFS(April!$E$7:$E$86,April!$D$7:$D$86,H34)+SUMIFS(May!$E$7:$E$86,May!$D$7:$D$86,H34)+SUMIFS(June!$E$7:$E$86,June!$D$7:$D$86,H34)+SUMIFS(July!$E$7:$E$86,July!$D$7:$D$86,H34)+SUMIFS(August!$E$7:$E$86,August!$D$7:$D$86,H34)+SUMIFS(September!$E$7:$E$86,September!$D$7:$D$86,H34)+SUMIFS(October!$E$7:$E$86,October!$D$7:$D$86,H34)+SUMIFS(November!$E$7:$E$86,November!$D$7:$D$86,H34)+SUMIFS(December!$E$7:$E$86,December!$D$7:$D$86,H34))</f>
        <v/>
      </c>
      <c r="J34" s="11" t="str">
        <f aca="false">IF(H34="","",Setup!F37)</f>
        <v/>
      </c>
    </row>
    <row r="35" customFormat="false" ht="15" hidden="false" customHeight="false" outlineLevel="0" collapsed="false">
      <c r="H35" s="11" t="str">
        <f aca="false">IF(Setup!E38="","",Setup!E38)</f>
        <v/>
      </c>
      <c r="I35" s="22" t="str">
        <f aca="false">IF(H35="","",SUMIFS(January!$E$7:$E$86,January!$D$7:$D$86,H35)+SUMIFS(February!$E$7:$E$86,February!$D$7:$D$86,H35)+SUMIFS(March!$E$7:$E$86,March!$D$7:$D$86,H35)+SUMIFS(April!$E$7:$E$86,April!$D$7:$D$86,H35)+SUMIFS(May!$E$7:$E$86,May!$D$7:$D$86,H35)+SUMIFS(June!$E$7:$E$86,June!$D$7:$D$86,H35)+SUMIFS(July!$E$7:$E$86,July!$D$7:$D$86,H35)+SUMIFS(August!$E$7:$E$86,August!$D$7:$D$86,H35)+SUMIFS(September!$E$7:$E$86,September!$D$7:$D$86,H35)+SUMIFS(October!$E$7:$E$86,October!$D$7:$D$86,H35)+SUMIFS(November!$E$7:$E$86,November!$D$7:$D$86,H35)+SUMIFS(December!$E$7:$E$86,December!$D$7:$D$86,H35))</f>
        <v/>
      </c>
      <c r="J35" s="11" t="str">
        <f aca="false">IF(H35="","",Setup!F38)</f>
        <v/>
      </c>
    </row>
    <row r="36" customFormat="false" ht="15" hidden="false" customHeight="false" outlineLevel="0" collapsed="false">
      <c r="H36" s="11" t="str">
        <f aca="false">IF(Setup!E39="","",Setup!E39)</f>
        <v/>
      </c>
      <c r="I36" s="22" t="str">
        <f aca="false">IF(H36="","",SUMIFS(January!$E$7:$E$86,January!$D$7:$D$86,H36)+SUMIFS(February!$E$7:$E$86,February!$D$7:$D$86,H36)+SUMIFS(March!$E$7:$E$86,March!$D$7:$D$86,H36)+SUMIFS(April!$E$7:$E$86,April!$D$7:$D$86,H36)+SUMIFS(May!$E$7:$E$86,May!$D$7:$D$86,H36)+SUMIFS(June!$E$7:$E$86,June!$D$7:$D$86,H36)+SUMIFS(July!$E$7:$E$86,July!$D$7:$D$86,H36)+SUMIFS(August!$E$7:$E$86,August!$D$7:$D$86,H36)+SUMIFS(September!$E$7:$E$86,September!$D$7:$D$86,H36)+SUMIFS(October!$E$7:$E$86,October!$D$7:$D$86,H36)+SUMIFS(November!$E$7:$E$86,November!$D$7:$D$86,H36)+SUMIFS(December!$E$7:$E$86,December!$D$7:$D$86,H36))</f>
        <v/>
      </c>
      <c r="J36" s="11" t="str">
        <f aca="false">IF(H36="","",Setup!F39)</f>
        <v/>
      </c>
    </row>
  </sheetData>
  <sheetProtection sheet="true" formatColumns="false" formatRows="false" insertRows="false" sort="false" autoFilter="false"/>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 ref="B7" location="'January'!A1" display="January"/>
    <hyperlink ref="B8" location="'February'!A1" display="February"/>
    <hyperlink ref="B9" location="'March'!A1" display="March"/>
    <hyperlink ref="B10" location="'April'!A1" display="April"/>
    <hyperlink ref="B11" location="'May'!A1" display="May"/>
    <hyperlink ref="B12" location="'June'!A1" display="June"/>
    <hyperlink ref="B13" location="'July'!A1" display="July"/>
    <hyperlink ref="B14" location="'August'!A1" display="August"/>
    <hyperlink ref="B15" location="'September'!A1" display="September"/>
    <hyperlink ref="B16" location="'October'!A1" display="October"/>
    <hyperlink ref="B17" location="'November'!A1" display="November"/>
    <hyperlink ref="B18" location="'December'!A1" display="Decembe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6"/>
    <col collapsed="false" customWidth="true" hidden="false" outlineLevel="0" max="4" min="4" style="0" width="14"/>
    <col collapsed="false" customWidth="true" hidden="false" outlineLevel="0" max="5" min="5" style="0" width="28"/>
    <col collapsed="false" customWidth="true" hidden="false" outlineLevel="0" max="6" min="6" style="0" width="14"/>
    <col collapsed="false" customWidth="true" hidden="false" outlineLevel="0" max="7" min="7" style="0" width="16"/>
    <col collapsed="false" customWidth="true" hidden="false" outlineLevel="0" max="29" min="8" style="0" width="14"/>
  </cols>
  <sheetData>
    <row r="2" customFormat="false" ht="33.75" hidden="false" customHeight="true" outlineLevel="0" collapsed="false">
      <c r="B2" s="1" t="s">
        <v>4</v>
      </c>
    </row>
    <row r="3" customFormat="false" ht="15" hidden="false" customHeight="false" outlineLevel="0" collapsed="false">
      <c r="B3" s="2" t="s">
        <v>71</v>
      </c>
    </row>
    <row r="4" customFormat="false" ht="15" hidden="false" customHeight="false" outlineLevel="0" collapsed="false">
      <c r="B4" s="3" t="s">
        <v>2</v>
      </c>
      <c r="C4" s="3" t="s">
        <v>3</v>
      </c>
      <c r="D4" s="3" t="s">
        <v>4</v>
      </c>
      <c r="E4" s="3" t="s">
        <v>5</v>
      </c>
      <c r="F4" s="3" t="s">
        <v>6</v>
      </c>
      <c r="G4" s="3" t="s">
        <v>7</v>
      </c>
      <c r="H4" s="3" t="s">
        <v>8</v>
      </c>
      <c r="I4" s="3" t="s">
        <v>9</v>
      </c>
    </row>
    <row r="6" customFormat="false" ht="15" hidden="false" customHeight="false" outlineLevel="0" collapsed="false">
      <c r="B6" s="19" t="s">
        <v>66</v>
      </c>
      <c r="C6" s="25" t="n">
        <v>2027</v>
      </c>
    </row>
    <row r="7" customFormat="false" ht="15" hidden="false" customHeight="false" outlineLevel="0" collapsed="false">
      <c r="B7" s="19" t="s">
        <v>72</v>
      </c>
      <c r="C7" s="11" t="s">
        <v>73</v>
      </c>
    </row>
    <row r="9" customFormat="false" ht="21.75" hidden="false" customHeight="true" outlineLevel="0" collapsed="false">
      <c r="B9" s="10" t="s">
        <v>74</v>
      </c>
      <c r="C9" s="10" t="s">
        <v>75</v>
      </c>
      <c r="E9" s="10" t="s">
        <v>64</v>
      </c>
      <c r="F9" s="10" t="s">
        <v>68</v>
      </c>
      <c r="G9" s="10" t="s">
        <v>76</v>
      </c>
    </row>
    <row r="10" customFormat="false" ht="15" hidden="false" customHeight="false" outlineLevel="0" collapsed="false">
      <c r="B10" s="17" t="s">
        <v>7</v>
      </c>
      <c r="C10" s="26" t="n">
        <v>3600</v>
      </c>
      <c r="E10" s="17" t="s">
        <v>77</v>
      </c>
      <c r="F10" s="17" t="s">
        <v>69</v>
      </c>
      <c r="G10" s="26" t="n">
        <v>1400</v>
      </c>
    </row>
    <row r="11" customFormat="false" ht="15" hidden="false" customHeight="false" outlineLevel="0" collapsed="false">
      <c r="B11" s="17" t="s">
        <v>78</v>
      </c>
      <c r="C11" s="26" t="n">
        <v>300</v>
      </c>
      <c r="E11" s="17" t="s">
        <v>79</v>
      </c>
      <c r="F11" s="17" t="s">
        <v>69</v>
      </c>
      <c r="G11" s="26" t="n">
        <v>180</v>
      </c>
    </row>
    <row r="12" customFormat="false" ht="15" hidden="false" customHeight="false" outlineLevel="0" collapsed="false">
      <c r="B12" s="17"/>
      <c r="C12" s="26"/>
      <c r="E12" s="17" t="s">
        <v>80</v>
      </c>
      <c r="F12" s="17" t="s">
        <v>69</v>
      </c>
      <c r="G12" s="26" t="n">
        <v>500</v>
      </c>
    </row>
    <row r="13" customFormat="false" ht="15" hidden="false" customHeight="false" outlineLevel="0" collapsed="false">
      <c r="B13" s="17"/>
      <c r="C13" s="26"/>
      <c r="E13" s="17" t="s">
        <v>81</v>
      </c>
      <c r="F13" s="17" t="s">
        <v>69</v>
      </c>
      <c r="G13" s="26" t="n">
        <v>220</v>
      </c>
    </row>
    <row r="14" customFormat="false" ht="15" hidden="false" customHeight="false" outlineLevel="0" collapsed="false">
      <c r="B14" s="17"/>
      <c r="C14" s="26"/>
      <c r="E14" s="17" t="s">
        <v>82</v>
      </c>
      <c r="F14" s="17" t="s">
        <v>69</v>
      </c>
      <c r="G14" s="26" t="n">
        <v>160</v>
      </c>
    </row>
    <row r="15" customFormat="false" ht="15" hidden="false" customHeight="false" outlineLevel="0" collapsed="false">
      <c r="B15" s="17"/>
      <c r="C15" s="26"/>
      <c r="E15" s="17" t="s">
        <v>83</v>
      </c>
      <c r="F15" s="17" t="s">
        <v>69</v>
      </c>
      <c r="G15" s="26" t="n">
        <v>95</v>
      </c>
    </row>
    <row r="16" customFormat="false" ht="15" hidden="false" customHeight="false" outlineLevel="0" collapsed="false">
      <c r="B16" s="17"/>
      <c r="C16" s="26"/>
      <c r="E16" s="17" t="s">
        <v>84</v>
      </c>
      <c r="F16" s="17" t="s">
        <v>69</v>
      </c>
      <c r="G16" s="26" t="n">
        <v>60</v>
      </c>
    </row>
    <row r="17" customFormat="false" ht="15" hidden="false" customHeight="false" outlineLevel="0" collapsed="false">
      <c r="B17" s="17"/>
      <c r="C17" s="26"/>
      <c r="E17" s="17" t="s">
        <v>85</v>
      </c>
      <c r="F17" s="17" t="s">
        <v>70</v>
      </c>
      <c r="G17" s="26" t="n">
        <v>150</v>
      </c>
    </row>
    <row r="18" customFormat="false" ht="15" hidden="false" customHeight="false" outlineLevel="0" collapsed="false">
      <c r="B18" s="19" t="s">
        <v>86</v>
      </c>
      <c r="C18" s="23" t="n">
        <f aca="false">SUM(C10:C17)</f>
        <v>3900</v>
      </c>
      <c r="E18" s="17" t="s">
        <v>87</v>
      </c>
      <c r="F18" s="17" t="s">
        <v>70</v>
      </c>
      <c r="G18" s="26" t="n">
        <v>120</v>
      </c>
    </row>
    <row r="19" customFormat="false" ht="15" hidden="false" customHeight="false" outlineLevel="0" collapsed="false">
      <c r="E19" s="17" t="s">
        <v>88</v>
      </c>
      <c r="F19" s="17" t="s">
        <v>70</v>
      </c>
      <c r="G19" s="26" t="n">
        <v>45</v>
      </c>
    </row>
    <row r="20" customFormat="false" ht="15" hidden="false" customHeight="false" outlineLevel="0" collapsed="false">
      <c r="E20" s="17" t="s">
        <v>89</v>
      </c>
      <c r="F20" s="17" t="s">
        <v>70</v>
      </c>
      <c r="G20" s="26" t="n">
        <v>100</v>
      </c>
    </row>
    <row r="21" customFormat="false" ht="15" hidden="false" customHeight="false" outlineLevel="0" collapsed="false">
      <c r="E21" s="17" t="s">
        <v>90</v>
      </c>
      <c r="F21" s="17" t="s">
        <v>70</v>
      </c>
      <c r="G21" s="26" t="n">
        <v>40</v>
      </c>
    </row>
    <row r="22" customFormat="false" ht="15" hidden="false" customHeight="false" outlineLevel="0" collapsed="false">
      <c r="E22" s="17" t="s">
        <v>91</v>
      </c>
      <c r="F22" s="17" t="s">
        <v>70</v>
      </c>
      <c r="G22" s="26" t="n">
        <v>50</v>
      </c>
    </row>
    <row r="23" customFormat="false" ht="15" hidden="false" customHeight="false" outlineLevel="0" collapsed="false">
      <c r="E23" s="17" t="s">
        <v>92</v>
      </c>
      <c r="F23" s="17" t="s">
        <v>9</v>
      </c>
      <c r="G23" s="26" t="n">
        <v>200</v>
      </c>
    </row>
    <row r="24" customFormat="false" ht="15" hidden="false" customHeight="false" outlineLevel="0" collapsed="false">
      <c r="E24" s="17" t="s">
        <v>93</v>
      </c>
      <c r="F24" s="17" t="s">
        <v>9</v>
      </c>
      <c r="G24" s="26" t="n">
        <v>100</v>
      </c>
    </row>
    <row r="25" customFormat="false" ht="15" hidden="false" customHeight="false" outlineLevel="0" collapsed="false">
      <c r="E25" s="17" t="s">
        <v>94</v>
      </c>
      <c r="F25" s="17" t="s">
        <v>9</v>
      </c>
      <c r="G25" s="26" t="n">
        <v>150</v>
      </c>
    </row>
    <row r="26" customFormat="false" ht="15" hidden="false" customHeight="false" outlineLevel="0" collapsed="false">
      <c r="E26" s="17" t="s">
        <v>95</v>
      </c>
      <c r="F26" s="17" t="s">
        <v>8</v>
      </c>
      <c r="G26" s="26" t="n">
        <v>150</v>
      </c>
    </row>
    <row r="27" customFormat="false" ht="15" hidden="false" customHeight="false" outlineLevel="0" collapsed="false">
      <c r="E27" s="17" t="s">
        <v>96</v>
      </c>
      <c r="F27" s="17" t="s">
        <v>8</v>
      </c>
      <c r="G27" s="26" t="n">
        <v>180</v>
      </c>
    </row>
    <row r="28" customFormat="false" ht="15" hidden="false" customHeight="false" outlineLevel="0" collapsed="false">
      <c r="E28" s="17"/>
      <c r="F28" s="17"/>
      <c r="G28" s="26"/>
    </row>
    <row r="29" customFormat="false" ht="15" hidden="false" customHeight="false" outlineLevel="0" collapsed="false">
      <c r="E29" s="17"/>
      <c r="F29" s="17"/>
      <c r="G29" s="26"/>
    </row>
    <row r="30" customFormat="false" ht="15" hidden="false" customHeight="false" outlineLevel="0" collapsed="false">
      <c r="E30" s="17"/>
      <c r="F30" s="17"/>
      <c r="G30" s="26"/>
    </row>
    <row r="31" customFormat="false" ht="15" hidden="false" customHeight="false" outlineLevel="0" collapsed="false">
      <c r="E31" s="17"/>
      <c r="F31" s="17"/>
      <c r="G31" s="26"/>
    </row>
    <row r="32" customFormat="false" ht="15" hidden="false" customHeight="false" outlineLevel="0" collapsed="false">
      <c r="E32" s="17"/>
      <c r="F32" s="17"/>
      <c r="G32" s="26"/>
    </row>
    <row r="33" customFormat="false" ht="15" hidden="false" customHeight="false" outlineLevel="0" collapsed="false">
      <c r="E33" s="17"/>
      <c r="F33" s="17"/>
      <c r="G33" s="26"/>
    </row>
    <row r="34" customFormat="false" ht="15" hidden="false" customHeight="false" outlineLevel="0" collapsed="false">
      <c r="E34" s="17"/>
      <c r="F34" s="17"/>
      <c r="G34" s="26"/>
    </row>
    <row r="35" customFormat="false" ht="15" hidden="false" customHeight="false" outlineLevel="0" collapsed="false">
      <c r="E35" s="17"/>
      <c r="F35" s="17"/>
      <c r="G35" s="26"/>
    </row>
    <row r="36" customFormat="false" ht="15" hidden="false" customHeight="false" outlineLevel="0" collapsed="false">
      <c r="E36" s="17"/>
      <c r="F36" s="17"/>
      <c r="G36" s="26"/>
    </row>
    <row r="37" customFormat="false" ht="15" hidden="false" customHeight="false" outlineLevel="0" collapsed="false">
      <c r="E37" s="17"/>
      <c r="F37" s="17"/>
      <c r="G37" s="26"/>
    </row>
    <row r="38" customFormat="false" ht="15" hidden="false" customHeight="false" outlineLevel="0" collapsed="false">
      <c r="E38" s="17"/>
      <c r="F38" s="17"/>
      <c r="G38" s="26"/>
    </row>
    <row r="39" customFormat="false" ht="15" hidden="false" customHeight="false" outlineLevel="0" collapsed="false">
      <c r="E39" s="17"/>
      <c r="F39" s="17"/>
      <c r="G39" s="26"/>
    </row>
    <row r="40" customFormat="false" ht="15" hidden="false" customHeight="false" outlineLevel="0" collapsed="false">
      <c r="E40" s="19" t="s">
        <v>97</v>
      </c>
      <c r="G40" s="23" t="n">
        <f aca="false">SUM(G10:G39)</f>
        <v>3900</v>
      </c>
    </row>
    <row r="41" customFormat="false" ht="15" hidden="false" customHeight="false" outlineLevel="0" collapsed="false">
      <c r="E41" s="19" t="s">
        <v>98</v>
      </c>
      <c r="G41" s="23" t="n">
        <f aca="false">C18-G40</f>
        <v>0</v>
      </c>
    </row>
  </sheetData>
  <sheetProtection sheet="true" formatColumns="false" formatRows="false" insertRows="false" sort="false" autoFilter="false"/>
  <conditionalFormatting sqref="G41">
    <cfRule type="cellIs" priority="2" operator="lessThan" aboveAverage="0" equalAverage="0" bottom="0" percent="0" rank="0" text="" dxfId="1">
      <formula>0</formula>
    </cfRule>
  </conditionalFormatting>
  <dataValidations count="1">
    <dataValidation allowBlank="true" errorStyle="stop" operator="between" showDropDown="false" showErrorMessage="false" showInputMessage="false" sqref="F10:F39" type="list">
      <formula1>"Needs,Wants,Savings,Debt"</formula1>
      <formula2>0</formula2>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12</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t="n">
        <v>46390</v>
      </c>
      <c r="C7" s="30" t="s">
        <v>105</v>
      </c>
      <c r="D7" s="17" t="s">
        <v>77</v>
      </c>
      <c r="E7" s="26" t="n">
        <v>1200</v>
      </c>
      <c r="G7" s="19" t="s">
        <v>61</v>
      </c>
      <c r="H7" s="31" t="n">
        <f aca="false">SUM(E7:E86)</f>
        <v>2112.09</v>
      </c>
    </row>
    <row r="8" customFormat="false" ht="15" hidden="false" customHeight="false" outlineLevel="0" collapsed="false">
      <c r="B8" s="29" t="n">
        <v>46391</v>
      </c>
      <c r="C8" s="30" t="s">
        <v>106</v>
      </c>
      <c r="D8" s="17" t="s">
        <v>80</v>
      </c>
      <c r="E8" s="26" t="n">
        <v>112.4</v>
      </c>
      <c r="G8" s="19" t="s">
        <v>62</v>
      </c>
      <c r="H8" s="31" t="n">
        <f aca="false">H6-H7</f>
        <v>1787.91</v>
      </c>
    </row>
    <row r="9" customFormat="false" ht="15" hidden="false" customHeight="false" outlineLevel="0" collapsed="false">
      <c r="B9" s="29" t="n">
        <v>46393</v>
      </c>
      <c r="C9" s="30" t="s">
        <v>107</v>
      </c>
      <c r="D9" s="17" t="s">
        <v>81</v>
      </c>
      <c r="E9" s="26" t="n">
        <v>60</v>
      </c>
      <c r="G9" s="19" t="s">
        <v>63</v>
      </c>
      <c r="H9" s="31" t="n">
        <f aca="false">SUMPRODUCT(SUMIFS($E$7:$E$86,$D$7:$D$86,Setup!$E$10:$E$39)*((Setup!$F$10:$F$39="Savings")+(Setup!$F$10:$F$39="Debt")))</f>
        <v>350</v>
      </c>
    </row>
    <row r="10" customFormat="false" ht="15" hidden="false" customHeight="false" outlineLevel="0" collapsed="false">
      <c r="B10" s="29" t="n">
        <v>46396</v>
      </c>
      <c r="C10" s="30" t="s">
        <v>108</v>
      </c>
      <c r="D10" s="17" t="s">
        <v>85</v>
      </c>
      <c r="E10" s="26" t="n">
        <v>38.5</v>
      </c>
    </row>
    <row r="11" customFormat="false" ht="21.75" hidden="false" customHeight="true" outlineLevel="0" collapsed="false">
      <c r="B11" s="29" t="n">
        <v>46398</v>
      </c>
      <c r="C11" s="30" t="s">
        <v>106</v>
      </c>
      <c r="D11" s="17" t="s">
        <v>80</v>
      </c>
      <c r="E11" s="26" t="n">
        <v>96.2</v>
      </c>
      <c r="G11" s="10" t="s">
        <v>64</v>
      </c>
      <c r="H11" s="10" t="s">
        <v>109</v>
      </c>
      <c r="I11" s="10" t="s">
        <v>61</v>
      </c>
      <c r="J11" s="10" t="s">
        <v>110</v>
      </c>
      <c r="K11" s="10" t="s">
        <v>111</v>
      </c>
      <c r="L11" s="10"/>
    </row>
    <row r="12" customFormat="false" ht="15" hidden="false" customHeight="false" outlineLevel="0" collapsed="false">
      <c r="B12" s="29" t="n">
        <v>46401</v>
      </c>
      <c r="C12" s="30" t="s">
        <v>112</v>
      </c>
      <c r="D12" s="17" t="s">
        <v>83</v>
      </c>
      <c r="E12" s="26" t="n">
        <v>55</v>
      </c>
      <c r="G12" s="11" t="str">
        <f aca="false">IF(Setup!E10="","",Setup!E10)</f>
        <v>Rent or mortgage</v>
      </c>
      <c r="H12" s="22" t="n">
        <f aca="false">IF(G12="","",Setup!G10)</f>
        <v>1400</v>
      </c>
      <c r="I12" s="22" t="n">
        <f aca="false">IF(G12="","",SUMIFS($E$7:$E$86,$D$7:$D$86,G12))</f>
        <v>1200</v>
      </c>
      <c r="J12" s="22" t="n">
        <f aca="false">IF(G12="","",H12-I12)</f>
        <v>200</v>
      </c>
      <c r="K12" s="32" t="n">
        <f aca="false">IF(OR(G12="",H12=0),"",I12/H12)</f>
        <v>0.857142857142857</v>
      </c>
      <c r="L12" s="33" t="str">
        <f aca="false">IF(K12="","",REPT("█",ROUND(MIN(1,MAX(0,K12))*10,0))&amp;REPT("░",10-ROUND(MIN(1,MAX(0,K12))*10,0)))</f>
        <v>█████████░</v>
      </c>
    </row>
    <row r="13" customFormat="false" ht="15" hidden="false" customHeight="false" outlineLevel="0" collapsed="false">
      <c r="B13" s="29" t="n">
        <v>46402</v>
      </c>
      <c r="C13" s="30" t="s">
        <v>113</v>
      </c>
      <c r="D13" s="17" t="s">
        <v>92</v>
      </c>
      <c r="E13" s="26" t="n">
        <v>200</v>
      </c>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t="n">
        <v>46405</v>
      </c>
      <c r="C14" s="30" t="s">
        <v>114</v>
      </c>
      <c r="D14" s="17" t="s">
        <v>88</v>
      </c>
      <c r="E14" s="26" t="n">
        <v>15.99</v>
      </c>
      <c r="G14" s="11" t="str">
        <f aca="false">IF(Setup!E12="","",Setup!E12)</f>
        <v>Groceries</v>
      </c>
      <c r="H14" s="22" t="n">
        <f aca="false">IF(G14="","",Setup!G12)</f>
        <v>500</v>
      </c>
      <c r="I14" s="22" t="n">
        <f aca="false">IF(G14="","",SUMIFS($E$7:$E$86,$D$7:$D$86,G14))</f>
        <v>208.6</v>
      </c>
      <c r="J14" s="22" t="n">
        <f aca="false">IF(G14="","",H14-I14)</f>
        <v>291.4</v>
      </c>
      <c r="K14" s="32" t="n">
        <f aca="false">IF(OR(G14="",H14=0),"",I14/H14)</f>
        <v>0.4172</v>
      </c>
      <c r="L14" s="33" t="str">
        <f aca="false">IF(K14="","",REPT("█",ROUND(MIN(1,MAX(0,K14))*10,0))&amp;REPT("░",10-ROUND(MIN(1,MAX(0,K14))*10,0)))</f>
        <v>████░░░░░░</v>
      </c>
    </row>
    <row r="15" customFormat="false" ht="15" hidden="false" customHeight="false" outlineLevel="0" collapsed="false">
      <c r="B15" s="29" t="n">
        <v>46408</v>
      </c>
      <c r="C15" s="30" t="s">
        <v>115</v>
      </c>
      <c r="D15" s="17" t="s">
        <v>95</v>
      </c>
      <c r="E15" s="26" t="n">
        <v>150</v>
      </c>
      <c r="G15" s="11" t="str">
        <f aca="false">IF(Setup!E13="","",Setup!E13)</f>
        <v>Transport</v>
      </c>
      <c r="H15" s="22" t="n">
        <f aca="false">IF(G15="","",Setup!G13)</f>
        <v>220</v>
      </c>
      <c r="I15" s="22" t="n">
        <f aca="false">IF(G15="","",SUMIFS($E$7:$E$86,$D$7:$D$86,G15))</f>
        <v>60</v>
      </c>
      <c r="J15" s="22" t="n">
        <f aca="false">IF(G15="","",H15-I15)</f>
        <v>160</v>
      </c>
      <c r="K15" s="32" t="n">
        <f aca="false">IF(OR(G15="",H15=0),"",I15/H15)</f>
        <v>0.272727272727273</v>
      </c>
      <c r="L15" s="33" t="str">
        <f aca="false">IF(K15="","",REPT("█",ROUND(MIN(1,MAX(0,K15))*10,0))&amp;REPT("░",10-ROUND(MIN(1,MAX(0,K15))*10,0)))</f>
        <v>███░░░░░░░</v>
      </c>
    </row>
    <row r="16" customFormat="false" ht="15" hidden="false" customHeight="false" outlineLevel="0" collapsed="false">
      <c r="B16" s="29" t="n">
        <v>46411</v>
      </c>
      <c r="C16" s="30" t="s">
        <v>116</v>
      </c>
      <c r="D16" s="17" t="s">
        <v>89</v>
      </c>
      <c r="E16" s="26" t="n">
        <v>120</v>
      </c>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t="n">
        <v>46412</v>
      </c>
      <c r="C17" s="30" t="s">
        <v>117</v>
      </c>
      <c r="D17" s="17" t="s">
        <v>87</v>
      </c>
      <c r="E17" s="26" t="n">
        <v>64</v>
      </c>
      <c r="G17" s="11" t="str">
        <f aca="false">IF(Setup!E15="","",Setup!E15)</f>
        <v>Phone and internet</v>
      </c>
      <c r="H17" s="22" t="n">
        <f aca="false">IF(G17="","",Setup!G15)</f>
        <v>95</v>
      </c>
      <c r="I17" s="22" t="n">
        <f aca="false">IF(G17="","",SUMIFS($E$7:$E$86,$D$7:$D$86,G17))</f>
        <v>55</v>
      </c>
      <c r="J17" s="22" t="n">
        <f aca="false">IF(G17="","",H17-I17)</f>
        <v>40</v>
      </c>
      <c r="K17" s="32" t="n">
        <f aca="false">IF(OR(G17="",H17=0),"",I17/H17)</f>
        <v>0.578947368421053</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38.5</v>
      </c>
      <c r="J19" s="22" t="n">
        <f aca="false">IF(G19="","",H19-I19)</f>
        <v>111.5</v>
      </c>
      <c r="K19" s="32" t="n">
        <f aca="false">IF(OR(G19="",H19=0),"",I19/H19)</f>
        <v>0.256666666666667</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64</v>
      </c>
      <c r="J20" s="22" t="n">
        <f aca="false">IF(G20="","",H20-I20)</f>
        <v>56</v>
      </c>
      <c r="K20" s="32" t="n">
        <f aca="false">IF(OR(G20="",H20=0),"",I20/H20)</f>
        <v>0.533333333333333</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15.99</v>
      </c>
      <c r="J21" s="22" t="n">
        <f aca="false">IF(G21="","",H21-I21)</f>
        <v>29.01</v>
      </c>
      <c r="K21" s="32" t="n">
        <f aca="false">IF(OR(G21="",H21=0),"",I21/H21)</f>
        <v>0.355333333333333</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120</v>
      </c>
      <c r="J22" s="22" t="n">
        <f aca="false">IF(G22="","",H22-I22)</f>
        <v>-20</v>
      </c>
      <c r="K22" s="32" t="n">
        <f aca="false">IF(OR(G22="",H22=0),"",I22/H22)</f>
        <v>1.2</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200</v>
      </c>
      <c r="J25" s="22" t="n">
        <f aca="false">IF(G25="","",H25-I25)</f>
        <v>0</v>
      </c>
      <c r="K25" s="32" t="n">
        <f aca="false">IF(OR(G25="",H25=0),"",I25/H25)</f>
        <v>1</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150</v>
      </c>
      <c r="J28" s="22" t="n">
        <f aca="false">IF(G28="","",H28-I28)</f>
        <v>0</v>
      </c>
      <c r="K28" s="32" t="n">
        <f aca="false">IF(OR(G28="",H28=0),"",I28/H28)</f>
        <v>1</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15</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18</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21</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24</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25</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28</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32</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34</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36</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38</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40</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21.75" hidden="false" customHeight="true" outlineLevel="0" collapsed="false">
      <c r="B6" s="10" t="s">
        <v>100</v>
      </c>
      <c r="C6" s="10" t="s">
        <v>101</v>
      </c>
      <c r="D6" s="10" t="s">
        <v>64</v>
      </c>
      <c r="E6" s="10" t="s">
        <v>102</v>
      </c>
      <c r="G6" s="19" t="s">
        <v>103</v>
      </c>
      <c r="H6" s="27" t="n">
        <f aca="false">Setup!$C$18</f>
        <v>3900</v>
      </c>
      <c r="I6" s="28" t="s">
        <v>104</v>
      </c>
    </row>
    <row r="7" customFormat="false" ht="15" hidden="false" customHeight="false" outlineLevel="0" collapsed="false">
      <c r="B7" s="29"/>
      <c r="C7" s="30"/>
      <c r="D7" s="17"/>
      <c r="E7" s="26"/>
      <c r="G7" s="19" t="s">
        <v>61</v>
      </c>
      <c r="H7" s="31" t="n">
        <f aca="false">SUM(E7:E86)</f>
        <v>0</v>
      </c>
    </row>
    <row r="8" customFormat="false" ht="15" hidden="false" customHeight="false" outlineLevel="0" collapsed="false">
      <c r="B8" s="29"/>
      <c r="C8" s="30"/>
      <c r="D8" s="17"/>
      <c r="E8" s="26"/>
      <c r="G8" s="19" t="s">
        <v>62</v>
      </c>
      <c r="H8" s="31" t="n">
        <f aca="false">H6-H7</f>
        <v>3900</v>
      </c>
    </row>
    <row r="9" customFormat="false" ht="15" hidden="false" customHeight="false" outlineLevel="0" collapsed="false">
      <c r="B9" s="29"/>
      <c r="C9" s="30"/>
      <c r="D9" s="17"/>
      <c r="E9" s="26"/>
      <c r="G9" s="19" t="s">
        <v>63</v>
      </c>
      <c r="H9" s="31" t="n">
        <f aca="false">SUMPRODUCT(SUMIFS($E$7:$E$86,$D$7:$D$86,Setup!$E$10:$E$39)*((Setup!$F$10:$F$39="Savings")+(Setup!$F$10:$F$39="Debt")))</f>
        <v>0</v>
      </c>
    </row>
    <row r="10" customFormat="false" ht="15" hidden="false" customHeight="false" outlineLevel="0" collapsed="false">
      <c r="B10" s="29"/>
      <c r="C10" s="30"/>
      <c r="D10" s="17"/>
      <c r="E10" s="26"/>
    </row>
    <row r="11" customFormat="false" ht="21.75" hidden="false" customHeight="true" outlineLevel="0" collapsed="false">
      <c r="B11" s="29"/>
      <c r="C11" s="30"/>
      <c r="D11" s="17"/>
      <c r="E11" s="26"/>
      <c r="G11" s="10" t="s">
        <v>64</v>
      </c>
      <c r="H11" s="10" t="s">
        <v>109</v>
      </c>
      <c r="I11" s="10" t="s">
        <v>61</v>
      </c>
      <c r="J11" s="10" t="s">
        <v>110</v>
      </c>
      <c r="K11" s="10" t="s">
        <v>111</v>
      </c>
      <c r="L11" s="10"/>
    </row>
    <row r="12" customFormat="false" ht="15" hidden="false" customHeight="fals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5" hidden="false" customHeight="fals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5" hidden="false" customHeight="fals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5" hidden="false" customHeight="fals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5" hidden="false" customHeight="fals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5" hidden="false" customHeight="fals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5" hidden="false" customHeight="fals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5" hidden="false" customHeight="fals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5" hidden="false" customHeight="fals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5" hidden="false" customHeight="fals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5" hidden="false" customHeight="fals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5" hidden="false" customHeight="fals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5" hidden="false" customHeight="fals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5" hidden="false" customHeight="fals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5" hidden="false" customHeight="fals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5" hidden="false" customHeight="fals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5" hidden="false" customHeight="fals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5" hidden="false" customHeight="fals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5" hidden="false" customHeight="fals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5" hidden="false" customHeight="fals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5" hidden="false" customHeight="fals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5" hidden="false" customHeight="fals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5" hidden="false" customHeight="fals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5" hidden="false" customHeight="fals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5" hidden="false" customHeight="fals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5" hidden="false" customHeight="fals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5" hidden="false" customHeight="fals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5" hidden="false" customHeight="fals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5" hidden="false" customHeight="fals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5" hidden="false" customHeight="fals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5" hidden="false" customHeight="false" outlineLevel="0" collapsed="false">
      <c r="B42" s="29"/>
      <c r="C42" s="30"/>
      <c r="D42" s="17"/>
      <c r="E42" s="26"/>
    </row>
    <row r="43" customFormat="false" ht="15" hidden="false" customHeight="false" outlineLevel="0" collapsed="false">
      <c r="B43" s="29"/>
      <c r="C43" s="30"/>
      <c r="D43" s="17"/>
      <c r="E43" s="26"/>
    </row>
    <row r="44" customFormat="false" ht="15" hidden="false" customHeight="false" outlineLevel="0" collapsed="false">
      <c r="B44" s="29"/>
      <c r="C44" s="30"/>
      <c r="D44" s="17"/>
      <c r="E44" s="26"/>
    </row>
    <row r="45" customFormat="false" ht="15" hidden="false" customHeight="false" outlineLevel="0" collapsed="false">
      <c r="B45" s="29"/>
      <c r="C45" s="30"/>
      <c r="D45" s="17"/>
      <c r="E45" s="26"/>
    </row>
    <row r="46" customFormat="false" ht="15" hidden="false" customHeight="false" outlineLevel="0" collapsed="false">
      <c r="B46" s="29"/>
      <c r="C46" s="30"/>
      <c r="D46" s="17"/>
      <c r="E46" s="26"/>
    </row>
    <row r="47" customFormat="false" ht="15" hidden="false" customHeight="false" outlineLevel="0" collapsed="false">
      <c r="B47" s="29"/>
      <c r="C47" s="30"/>
      <c r="D47" s="17"/>
      <c r="E47" s="26"/>
    </row>
    <row r="48" customFormat="false" ht="15" hidden="false" customHeight="false" outlineLevel="0" collapsed="false">
      <c r="B48" s="29"/>
      <c r="C48" s="30"/>
      <c r="D48" s="17"/>
      <c r="E48" s="26"/>
    </row>
    <row r="49" customFormat="false" ht="15" hidden="false" customHeight="false" outlineLevel="0" collapsed="false">
      <c r="B49" s="29"/>
      <c r="C49" s="30"/>
      <c r="D49" s="17"/>
      <c r="E49" s="26"/>
    </row>
    <row r="50" customFormat="false" ht="15" hidden="false" customHeight="false" outlineLevel="0" collapsed="false">
      <c r="B50" s="29"/>
      <c r="C50" s="30"/>
      <c r="D50" s="17"/>
      <c r="E50" s="26"/>
    </row>
    <row r="51" customFormat="false" ht="15" hidden="false" customHeight="false" outlineLevel="0" collapsed="false">
      <c r="B51" s="29"/>
      <c r="C51" s="30"/>
      <c r="D51" s="17"/>
      <c r="E51" s="26"/>
    </row>
    <row r="52" customFormat="false" ht="15" hidden="false" customHeight="false" outlineLevel="0" collapsed="false">
      <c r="B52" s="29"/>
      <c r="C52" s="30"/>
      <c r="D52" s="17"/>
      <c r="E52" s="26"/>
    </row>
    <row r="53" customFormat="false" ht="15" hidden="false" customHeight="false" outlineLevel="0" collapsed="false">
      <c r="B53" s="29"/>
      <c r="C53" s="30"/>
      <c r="D53" s="17"/>
      <c r="E53" s="26"/>
    </row>
    <row r="54" customFormat="false" ht="15" hidden="false" customHeight="false" outlineLevel="0" collapsed="false">
      <c r="B54" s="29"/>
      <c r="C54" s="30"/>
      <c r="D54" s="17"/>
      <c r="E54" s="26"/>
    </row>
    <row r="55" customFormat="false" ht="15" hidden="false" customHeight="false" outlineLevel="0" collapsed="false">
      <c r="B55" s="29"/>
      <c r="C55" s="30"/>
      <c r="D55" s="17"/>
      <c r="E55" s="26"/>
    </row>
    <row r="56" customFormat="false" ht="15" hidden="false" customHeight="false" outlineLevel="0" collapsed="false">
      <c r="B56" s="29"/>
      <c r="C56" s="30"/>
      <c r="D56" s="17"/>
      <c r="E56" s="26"/>
    </row>
    <row r="57" customFormat="false" ht="15" hidden="false" customHeight="false" outlineLevel="0" collapsed="false">
      <c r="B57" s="29"/>
      <c r="C57" s="30"/>
      <c r="D57" s="17"/>
      <c r="E57" s="26"/>
    </row>
    <row r="58" customFormat="false" ht="15" hidden="false" customHeight="false" outlineLevel="0" collapsed="false">
      <c r="B58" s="29"/>
      <c r="C58" s="30"/>
      <c r="D58" s="17"/>
      <c r="E58" s="26"/>
    </row>
    <row r="59" customFormat="false" ht="15" hidden="false" customHeight="false" outlineLevel="0" collapsed="false">
      <c r="B59" s="29"/>
      <c r="C59" s="30"/>
      <c r="D59" s="17"/>
      <c r="E59" s="26"/>
    </row>
    <row r="60" customFormat="false" ht="15" hidden="false" customHeight="false" outlineLevel="0" collapsed="false">
      <c r="B60" s="29"/>
      <c r="C60" s="30"/>
      <c r="D60" s="17"/>
      <c r="E60" s="26"/>
    </row>
    <row r="61" customFormat="false" ht="15" hidden="false" customHeight="false" outlineLevel="0" collapsed="false">
      <c r="B61" s="29"/>
      <c r="C61" s="30"/>
      <c r="D61" s="17"/>
      <c r="E61" s="26"/>
    </row>
    <row r="62" customFormat="false" ht="15" hidden="false" customHeight="false" outlineLevel="0" collapsed="false">
      <c r="B62" s="29"/>
      <c r="C62" s="30"/>
      <c r="D62" s="17"/>
      <c r="E62" s="26"/>
    </row>
    <row r="63" customFormat="false" ht="15" hidden="false" customHeight="false" outlineLevel="0" collapsed="false">
      <c r="B63" s="29"/>
      <c r="C63" s="30"/>
      <c r="D63" s="17"/>
      <c r="E63" s="26"/>
    </row>
    <row r="64" customFormat="false" ht="15" hidden="false" customHeight="false" outlineLevel="0" collapsed="false">
      <c r="B64" s="29"/>
      <c r="C64" s="30"/>
      <c r="D64" s="17"/>
      <c r="E64" s="26"/>
    </row>
    <row r="65" customFormat="false" ht="15" hidden="false" customHeight="false" outlineLevel="0" collapsed="false">
      <c r="B65" s="29"/>
      <c r="C65" s="30"/>
      <c r="D65" s="17"/>
      <c r="E65" s="26"/>
    </row>
    <row r="66" customFormat="false" ht="15" hidden="false" customHeight="false" outlineLevel="0" collapsed="false">
      <c r="B66" s="29"/>
      <c r="C66" s="30"/>
      <c r="D66" s="17"/>
      <c r="E66" s="26"/>
    </row>
    <row r="67" customFormat="false" ht="15" hidden="false" customHeight="false" outlineLevel="0" collapsed="false">
      <c r="B67" s="29"/>
      <c r="C67" s="30"/>
      <c r="D67" s="17"/>
      <c r="E67" s="26"/>
    </row>
    <row r="68" customFormat="false" ht="15" hidden="false" customHeight="false" outlineLevel="0" collapsed="false">
      <c r="B68" s="29"/>
      <c r="C68" s="30"/>
      <c r="D68" s="17"/>
      <c r="E68" s="26"/>
    </row>
    <row r="69" customFormat="false" ht="15" hidden="false" customHeight="false" outlineLevel="0" collapsed="false">
      <c r="B69" s="29"/>
      <c r="C69" s="30"/>
      <c r="D69" s="17"/>
      <c r="E69" s="26"/>
    </row>
    <row r="70" customFormat="false" ht="15" hidden="false" customHeight="false" outlineLevel="0" collapsed="false">
      <c r="B70" s="29"/>
      <c r="C70" s="30"/>
      <c r="D70" s="17"/>
      <c r="E70" s="26"/>
    </row>
    <row r="71" customFormat="false" ht="15" hidden="false" customHeight="false" outlineLevel="0" collapsed="false">
      <c r="B71" s="29"/>
      <c r="C71" s="30"/>
      <c r="D71" s="17"/>
      <c r="E71" s="26"/>
    </row>
    <row r="72" customFormat="false" ht="15" hidden="false" customHeight="false" outlineLevel="0" collapsed="false">
      <c r="B72" s="29"/>
      <c r="C72" s="30"/>
      <c r="D72" s="17"/>
      <c r="E72" s="26"/>
    </row>
    <row r="73" customFormat="false" ht="15" hidden="false" customHeight="false" outlineLevel="0" collapsed="false">
      <c r="B73" s="29"/>
      <c r="C73" s="30"/>
      <c r="D73" s="17"/>
      <c r="E73" s="26"/>
    </row>
    <row r="74" customFormat="false" ht="15" hidden="false" customHeight="false" outlineLevel="0" collapsed="false">
      <c r="B74" s="29"/>
      <c r="C74" s="30"/>
      <c r="D74" s="17"/>
      <c r="E74" s="26"/>
    </row>
    <row r="75" customFormat="false" ht="15" hidden="false" customHeight="false" outlineLevel="0" collapsed="false">
      <c r="B75" s="29"/>
      <c r="C75" s="30"/>
      <c r="D75" s="17"/>
      <c r="E75" s="26"/>
    </row>
    <row r="76" customFormat="false" ht="15" hidden="false" customHeight="false" outlineLevel="0" collapsed="false">
      <c r="B76" s="29"/>
      <c r="C76" s="30"/>
      <c r="D76" s="17"/>
      <c r="E76" s="26"/>
    </row>
    <row r="77" customFormat="false" ht="15" hidden="false" customHeight="false" outlineLevel="0" collapsed="false">
      <c r="B77" s="29"/>
      <c r="C77" s="30"/>
      <c r="D77" s="17"/>
      <c r="E77" s="26"/>
    </row>
    <row r="78" customFormat="false" ht="15" hidden="false" customHeight="false" outlineLevel="0" collapsed="false">
      <c r="B78" s="29"/>
      <c r="C78" s="30"/>
      <c r="D78" s="17"/>
      <c r="E78" s="26"/>
    </row>
    <row r="79" customFormat="false" ht="15" hidden="false" customHeight="false" outlineLevel="0" collapsed="false">
      <c r="B79" s="29"/>
      <c r="C79" s="30"/>
      <c r="D79" s="17"/>
      <c r="E79" s="26"/>
    </row>
    <row r="80" customFormat="false" ht="15" hidden="false" customHeight="false" outlineLevel="0" collapsed="false">
      <c r="B80" s="29"/>
      <c r="C80" s="30"/>
      <c r="D80" s="17"/>
      <c r="E80" s="26"/>
    </row>
    <row r="81" customFormat="false" ht="15" hidden="false" customHeight="false" outlineLevel="0" collapsed="false">
      <c r="B81" s="29"/>
      <c r="C81" s="30"/>
      <c r="D81" s="17"/>
      <c r="E81" s="26"/>
    </row>
    <row r="82" customFormat="false" ht="15" hidden="false" customHeight="false" outlineLevel="0" collapsed="false">
      <c r="B82" s="29"/>
      <c r="C82" s="30"/>
      <c r="D82" s="17"/>
      <c r="E82" s="26"/>
    </row>
    <row r="83" customFormat="false" ht="15" hidden="false" customHeight="false" outlineLevel="0" collapsed="false">
      <c r="B83" s="29"/>
      <c r="C83" s="30"/>
      <c r="D83" s="17"/>
      <c r="E83" s="26"/>
    </row>
    <row r="84" customFormat="false" ht="15" hidden="false" customHeight="false" outlineLevel="0" collapsed="false">
      <c r="B84" s="29"/>
      <c r="C84" s="30"/>
      <c r="D84" s="17"/>
      <c r="E84" s="26"/>
    </row>
    <row r="85" customFormat="false" ht="15" hidden="false" customHeight="false" outlineLevel="0" collapsed="false">
      <c r="B85" s="29"/>
      <c r="C85" s="30"/>
      <c r="D85" s="17"/>
      <c r="E85" s="26"/>
    </row>
    <row r="86" customFormat="false" ht="15" hidden="false" customHeight="false" outlineLevel="0" collapsed="false">
      <c r="B86" s="29"/>
      <c r="C86" s="30"/>
      <c r="D86" s="17"/>
      <c r="E86" s="26"/>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Q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
    <col collapsed="false" customWidth="true" hidden="false" outlineLevel="0" max="4" min="4" style="0" width="12"/>
    <col collapsed="false" customWidth="true" hidden="false" outlineLevel="0" max="5" min="5" style="0" width="9"/>
    <col collapsed="false" customWidth="true" hidden="false" outlineLevel="0" max="17" min="6" style="0" width="6"/>
    <col collapsed="false" customWidth="true" hidden="false" outlineLevel="0" max="29" min="18" style="0" width="14"/>
  </cols>
  <sheetData>
    <row r="2" customFormat="false" ht="33.75" hidden="false" customHeight="true" outlineLevel="0" collapsed="false">
      <c r="B2" s="1" t="s">
        <v>6</v>
      </c>
    </row>
    <row r="3" customFormat="false" ht="15" hidden="false" customHeight="false" outlineLevel="0" collapsed="false">
      <c r="B3" s="2" t="s">
        <v>118</v>
      </c>
    </row>
    <row r="4" customFormat="false" ht="15" hidden="false" customHeight="false" outlineLevel="0" collapsed="false">
      <c r="B4" s="3" t="s">
        <v>2</v>
      </c>
      <c r="C4" s="3" t="s">
        <v>3</v>
      </c>
      <c r="E4" s="3" t="s">
        <v>4</v>
      </c>
      <c r="F4" s="3" t="s">
        <v>5</v>
      </c>
      <c r="H4" s="3" t="s">
        <v>6</v>
      </c>
      <c r="J4" s="3" t="s">
        <v>7</v>
      </c>
      <c r="L4" s="3" t="s">
        <v>8</v>
      </c>
      <c r="N4" s="3" t="s">
        <v>9</v>
      </c>
    </row>
    <row r="6" customFormat="false" ht="21.75" hidden="false" customHeight="true" outlineLevel="0" collapsed="false">
      <c r="B6" s="10" t="s">
        <v>119</v>
      </c>
      <c r="C6" s="10" t="s">
        <v>120</v>
      </c>
      <c r="D6" s="10" t="s">
        <v>102</v>
      </c>
      <c r="E6" s="10" t="s">
        <v>121</v>
      </c>
      <c r="F6" s="10" t="s">
        <v>122</v>
      </c>
      <c r="G6" s="10" t="s">
        <v>123</v>
      </c>
      <c r="H6" s="10" t="s">
        <v>124</v>
      </c>
      <c r="I6" s="10" t="s">
        <v>125</v>
      </c>
      <c r="J6" s="10" t="s">
        <v>24</v>
      </c>
      <c r="K6" s="10" t="s">
        <v>126</v>
      </c>
      <c r="L6" s="10" t="s">
        <v>127</v>
      </c>
      <c r="M6" s="10" t="s">
        <v>128</v>
      </c>
      <c r="N6" s="10" t="s">
        <v>129</v>
      </c>
      <c r="O6" s="10" t="s">
        <v>130</v>
      </c>
      <c r="P6" s="10" t="s">
        <v>131</v>
      </c>
      <c r="Q6" s="10" t="s">
        <v>132</v>
      </c>
    </row>
    <row r="7" customFormat="false" ht="15" hidden="false" customHeight="false" outlineLevel="0" collapsed="false">
      <c r="B7" s="17" t="s">
        <v>105</v>
      </c>
      <c r="C7" s="25" t="n">
        <v>1</v>
      </c>
      <c r="D7" s="26" t="n">
        <v>1400</v>
      </c>
      <c r="E7" s="17" t="s">
        <v>133</v>
      </c>
      <c r="F7" s="34"/>
      <c r="G7" s="34"/>
      <c r="H7" s="34"/>
      <c r="I7" s="34"/>
      <c r="J7" s="34"/>
      <c r="K7" s="34"/>
      <c r="L7" s="34"/>
      <c r="M7" s="34"/>
      <c r="N7" s="34"/>
      <c r="O7" s="34"/>
      <c r="P7" s="34"/>
      <c r="Q7" s="34"/>
    </row>
    <row r="8" customFormat="false" ht="15" hidden="false" customHeight="false" outlineLevel="0" collapsed="false">
      <c r="B8" s="17" t="s">
        <v>83</v>
      </c>
      <c r="C8" s="25" t="n">
        <v>14</v>
      </c>
      <c r="D8" s="26" t="n">
        <v>95</v>
      </c>
      <c r="E8" s="17" t="s">
        <v>133</v>
      </c>
      <c r="F8" s="34"/>
      <c r="G8" s="34"/>
      <c r="H8" s="34"/>
      <c r="I8" s="34"/>
      <c r="J8" s="34"/>
      <c r="K8" s="34"/>
      <c r="L8" s="34"/>
      <c r="M8" s="34"/>
      <c r="N8" s="34"/>
      <c r="O8" s="34"/>
      <c r="P8" s="34"/>
      <c r="Q8" s="34"/>
    </row>
    <row r="9" customFormat="false" ht="15" hidden="false" customHeight="false" outlineLevel="0" collapsed="false">
      <c r="B9" s="17" t="s">
        <v>114</v>
      </c>
      <c r="C9" s="25" t="n">
        <v>18</v>
      </c>
      <c r="D9" s="26" t="n">
        <v>15.99</v>
      </c>
      <c r="E9" s="17" t="s">
        <v>133</v>
      </c>
      <c r="F9" s="34"/>
      <c r="G9" s="34"/>
      <c r="H9" s="34"/>
      <c r="I9" s="34"/>
      <c r="J9" s="34"/>
      <c r="K9" s="34"/>
      <c r="L9" s="34"/>
      <c r="M9" s="34"/>
      <c r="N9" s="34"/>
      <c r="O9" s="34"/>
      <c r="P9" s="34"/>
      <c r="Q9" s="34"/>
    </row>
    <row r="10" customFormat="false" ht="15" hidden="false" customHeight="false" outlineLevel="0" collapsed="false">
      <c r="B10" s="17" t="s">
        <v>134</v>
      </c>
      <c r="C10" s="25" t="n">
        <v>20</v>
      </c>
      <c r="D10" s="26" t="n">
        <v>160</v>
      </c>
      <c r="E10" s="17" t="s">
        <v>135</v>
      </c>
      <c r="F10" s="34"/>
      <c r="G10" s="34"/>
      <c r="H10" s="34"/>
      <c r="I10" s="34"/>
      <c r="J10" s="34"/>
      <c r="K10" s="34"/>
      <c r="L10" s="34"/>
      <c r="M10" s="34"/>
      <c r="N10" s="34"/>
      <c r="O10" s="34"/>
      <c r="P10" s="34"/>
      <c r="Q10" s="34"/>
    </row>
    <row r="11" customFormat="false" ht="15" hidden="false" customHeight="false" outlineLevel="0" collapsed="false">
      <c r="B11" s="17" t="s">
        <v>136</v>
      </c>
      <c r="C11" s="25" t="n">
        <v>22</v>
      </c>
      <c r="D11" s="26" t="n">
        <v>90</v>
      </c>
      <c r="E11" s="17" t="s">
        <v>135</v>
      </c>
      <c r="F11" s="34"/>
      <c r="G11" s="34"/>
      <c r="H11" s="34"/>
      <c r="I11" s="34"/>
      <c r="J11" s="34"/>
      <c r="K11" s="34"/>
      <c r="L11" s="34"/>
      <c r="M11" s="34"/>
      <c r="N11" s="34"/>
      <c r="O11" s="34"/>
      <c r="P11" s="34"/>
      <c r="Q11" s="34"/>
    </row>
    <row r="12" customFormat="false" ht="15" hidden="false" customHeight="false" outlineLevel="0" collapsed="false">
      <c r="B12" s="17" t="s">
        <v>95</v>
      </c>
      <c r="C12" s="25" t="n">
        <v>25</v>
      </c>
      <c r="D12" s="26" t="n">
        <v>150</v>
      </c>
      <c r="E12" s="17" t="s">
        <v>135</v>
      </c>
      <c r="F12" s="34"/>
      <c r="G12" s="34"/>
      <c r="H12" s="34"/>
      <c r="I12" s="34"/>
      <c r="J12" s="34"/>
      <c r="K12" s="34"/>
      <c r="L12" s="34"/>
      <c r="M12" s="34"/>
      <c r="N12" s="34"/>
      <c r="O12" s="34"/>
      <c r="P12" s="34"/>
      <c r="Q12" s="34"/>
    </row>
    <row r="13" customFormat="false" ht="15" hidden="false" customHeight="false" outlineLevel="0" collapsed="false">
      <c r="B13" s="17"/>
      <c r="C13" s="25"/>
      <c r="D13" s="26"/>
      <c r="E13" s="17"/>
      <c r="F13" s="34"/>
      <c r="G13" s="34"/>
      <c r="H13" s="34"/>
      <c r="I13" s="34"/>
      <c r="J13" s="34"/>
      <c r="K13" s="34"/>
      <c r="L13" s="34"/>
      <c r="M13" s="34"/>
      <c r="N13" s="34"/>
      <c r="O13" s="34"/>
      <c r="P13" s="34"/>
      <c r="Q13" s="34"/>
    </row>
    <row r="14" customFormat="false" ht="15" hidden="false" customHeight="false" outlineLevel="0" collapsed="false">
      <c r="B14" s="17"/>
      <c r="C14" s="25"/>
      <c r="D14" s="26"/>
      <c r="E14" s="17"/>
      <c r="F14" s="34"/>
      <c r="G14" s="34"/>
      <c r="H14" s="34"/>
      <c r="I14" s="34"/>
      <c r="J14" s="34"/>
      <c r="K14" s="34"/>
      <c r="L14" s="34"/>
      <c r="M14" s="34"/>
      <c r="N14" s="34"/>
      <c r="O14" s="34"/>
      <c r="P14" s="34"/>
      <c r="Q14" s="34"/>
    </row>
    <row r="15" customFormat="false" ht="15" hidden="false" customHeight="false" outlineLevel="0" collapsed="false">
      <c r="B15" s="17"/>
      <c r="C15" s="25"/>
      <c r="D15" s="26"/>
      <c r="E15" s="17"/>
      <c r="F15" s="34"/>
      <c r="G15" s="34"/>
      <c r="H15" s="34"/>
      <c r="I15" s="34"/>
      <c r="J15" s="34"/>
      <c r="K15" s="34"/>
      <c r="L15" s="34"/>
      <c r="M15" s="34"/>
      <c r="N15" s="34"/>
      <c r="O15" s="34"/>
      <c r="P15" s="34"/>
      <c r="Q15" s="34"/>
    </row>
    <row r="16" customFormat="false" ht="15" hidden="false" customHeight="false" outlineLevel="0" collapsed="false">
      <c r="B16" s="17"/>
      <c r="C16" s="25"/>
      <c r="D16" s="26"/>
      <c r="E16" s="17"/>
      <c r="F16" s="34"/>
      <c r="G16" s="34"/>
      <c r="H16" s="34"/>
      <c r="I16" s="34"/>
      <c r="J16" s="34"/>
      <c r="K16" s="34"/>
      <c r="L16" s="34"/>
      <c r="M16" s="34"/>
      <c r="N16" s="34"/>
      <c r="O16" s="34"/>
      <c r="P16" s="34"/>
      <c r="Q16" s="34"/>
    </row>
    <row r="17" customFormat="false" ht="15" hidden="false" customHeight="false" outlineLevel="0" collapsed="false">
      <c r="B17" s="17"/>
      <c r="C17" s="25"/>
      <c r="D17" s="26"/>
      <c r="E17" s="17"/>
      <c r="F17" s="34"/>
      <c r="G17" s="34"/>
      <c r="H17" s="34"/>
      <c r="I17" s="34"/>
      <c r="J17" s="34"/>
      <c r="K17" s="34"/>
      <c r="L17" s="34"/>
      <c r="M17" s="34"/>
      <c r="N17" s="34"/>
      <c r="O17" s="34"/>
      <c r="P17" s="34"/>
      <c r="Q17" s="34"/>
    </row>
    <row r="18" customFormat="false" ht="15" hidden="false" customHeight="false" outlineLevel="0" collapsed="false">
      <c r="B18" s="17"/>
      <c r="C18" s="25"/>
      <c r="D18" s="26"/>
      <c r="E18" s="17"/>
      <c r="F18" s="34"/>
      <c r="G18" s="34"/>
      <c r="H18" s="34"/>
      <c r="I18" s="34"/>
      <c r="J18" s="34"/>
      <c r="K18" s="34"/>
      <c r="L18" s="34"/>
      <c r="M18" s="34"/>
      <c r="N18" s="34"/>
      <c r="O18" s="34"/>
      <c r="P18" s="34"/>
      <c r="Q18" s="34"/>
    </row>
    <row r="19" customFormat="false" ht="15" hidden="false" customHeight="false" outlineLevel="0" collapsed="false">
      <c r="B19" s="17"/>
      <c r="C19" s="25"/>
      <c r="D19" s="26"/>
      <c r="E19" s="17"/>
      <c r="F19" s="34"/>
      <c r="G19" s="34"/>
      <c r="H19" s="34"/>
      <c r="I19" s="34"/>
      <c r="J19" s="34"/>
      <c r="K19" s="34"/>
      <c r="L19" s="34"/>
      <c r="M19" s="34"/>
      <c r="N19" s="34"/>
      <c r="O19" s="34"/>
      <c r="P19" s="34"/>
      <c r="Q19" s="34"/>
    </row>
    <row r="20" customFormat="false" ht="15" hidden="false" customHeight="false" outlineLevel="0" collapsed="false">
      <c r="B20" s="17"/>
      <c r="C20" s="25"/>
      <c r="D20" s="26"/>
      <c r="E20" s="17"/>
      <c r="F20" s="34"/>
      <c r="G20" s="34"/>
      <c r="H20" s="34"/>
      <c r="I20" s="34"/>
      <c r="J20" s="34"/>
      <c r="K20" s="34"/>
      <c r="L20" s="34"/>
      <c r="M20" s="34"/>
      <c r="N20" s="34"/>
      <c r="O20" s="34"/>
      <c r="P20" s="34"/>
      <c r="Q20" s="34"/>
    </row>
    <row r="21" customFormat="false" ht="15" hidden="false" customHeight="false" outlineLevel="0" collapsed="false">
      <c r="B21" s="17"/>
      <c r="C21" s="25"/>
      <c r="D21" s="26"/>
      <c r="E21" s="17"/>
      <c r="F21" s="34"/>
      <c r="G21" s="34"/>
      <c r="H21" s="34"/>
      <c r="I21" s="34"/>
      <c r="J21" s="34"/>
      <c r="K21" s="34"/>
      <c r="L21" s="34"/>
      <c r="M21" s="34"/>
      <c r="N21" s="34"/>
      <c r="O21" s="34"/>
      <c r="P21" s="34"/>
      <c r="Q21" s="34"/>
    </row>
    <row r="22" customFormat="false" ht="15" hidden="false" customHeight="false" outlineLevel="0" collapsed="false">
      <c r="B22" s="17"/>
      <c r="C22" s="25"/>
      <c r="D22" s="26"/>
      <c r="E22" s="17"/>
      <c r="F22" s="34"/>
      <c r="G22" s="34"/>
      <c r="H22" s="34"/>
      <c r="I22" s="34"/>
      <c r="J22" s="34"/>
      <c r="K22" s="34"/>
      <c r="L22" s="34"/>
      <c r="M22" s="34"/>
      <c r="N22" s="34"/>
      <c r="O22" s="34"/>
      <c r="P22" s="34"/>
      <c r="Q22" s="34"/>
    </row>
    <row r="23" customFormat="false" ht="15" hidden="false" customHeight="false" outlineLevel="0" collapsed="false">
      <c r="B23" s="17"/>
      <c r="C23" s="25"/>
      <c r="D23" s="26"/>
      <c r="E23" s="17"/>
      <c r="F23" s="34"/>
      <c r="G23" s="34"/>
      <c r="H23" s="34"/>
      <c r="I23" s="34"/>
      <c r="J23" s="34"/>
      <c r="K23" s="34"/>
      <c r="L23" s="34"/>
      <c r="M23" s="34"/>
      <c r="N23" s="34"/>
      <c r="O23" s="34"/>
      <c r="P23" s="34"/>
      <c r="Q23" s="34"/>
    </row>
    <row r="24" customFormat="false" ht="15" hidden="false" customHeight="false" outlineLevel="0" collapsed="false">
      <c r="B24" s="17"/>
      <c r="C24" s="25"/>
      <c r="D24" s="26"/>
      <c r="E24" s="17"/>
      <c r="F24" s="34"/>
      <c r="G24" s="34"/>
      <c r="H24" s="34"/>
      <c r="I24" s="34"/>
      <c r="J24" s="34"/>
      <c r="K24" s="34"/>
      <c r="L24" s="34"/>
      <c r="M24" s="34"/>
      <c r="N24" s="34"/>
      <c r="O24" s="34"/>
      <c r="P24" s="34"/>
      <c r="Q24" s="34"/>
    </row>
    <row r="25" customFormat="false" ht="15" hidden="false" customHeight="false" outlineLevel="0" collapsed="false">
      <c r="B25" s="17"/>
      <c r="C25" s="25"/>
      <c r="D25" s="26"/>
      <c r="E25" s="17"/>
      <c r="F25" s="34"/>
      <c r="G25" s="34"/>
      <c r="H25" s="34"/>
      <c r="I25" s="34"/>
      <c r="J25" s="34"/>
      <c r="K25" s="34"/>
      <c r="L25" s="34"/>
      <c r="M25" s="34"/>
      <c r="N25" s="34"/>
      <c r="O25" s="34"/>
      <c r="P25" s="34"/>
      <c r="Q25" s="34"/>
    </row>
    <row r="26" customFormat="false" ht="15" hidden="false" customHeight="false" outlineLevel="0" collapsed="false">
      <c r="B26" s="17"/>
      <c r="C26" s="25"/>
      <c r="D26" s="26"/>
      <c r="E26" s="17"/>
      <c r="F26" s="34"/>
      <c r="G26" s="34"/>
      <c r="H26" s="34"/>
      <c r="I26" s="34"/>
      <c r="J26" s="34"/>
      <c r="K26" s="34"/>
      <c r="L26" s="34"/>
      <c r="M26" s="34"/>
      <c r="N26" s="34"/>
      <c r="O26" s="34"/>
      <c r="P26" s="34"/>
      <c r="Q26" s="34"/>
    </row>
    <row r="27" customFormat="false" ht="15" hidden="false" customHeight="false" outlineLevel="0" collapsed="false">
      <c r="B27" s="17"/>
      <c r="C27" s="25"/>
      <c r="D27" s="26"/>
      <c r="E27" s="17"/>
      <c r="F27" s="34"/>
      <c r="G27" s="34"/>
      <c r="H27" s="34"/>
      <c r="I27" s="34"/>
      <c r="J27" s="34"/>
      <c r="K27" s="34"/>
      <c r="L27" s="34"/>
      <c r="M27" s="34"/>
      <c r="N27" s="34"/>
      <c r="O27" s="34"/>
      <c r="P27" s="34"/>
      <c r="Q27" s="34"/>
    </row>
    <row r="28" customFormat="false" ht="15" hidden="false" customHeight="false" outlineLevel="0" collapsed="false">
      <c r="B28" s="17"/>
      <c r="C28" s="25"/>
      <c r="D28" s="26"/>
      <c r="E28" s="17"/>
      <c r="F28" s="34"/>
      <c r="G28" s="34"/>
      <c r="H28" s="34"/>
      <c r="I28" s="34"/>
      <c r="J28" s="34"/>
      <c r="K28" s="34"/>
      <c r="L28" s="34"/>
      <c r="M28" s="34"/>
      <c r="N28" s="34"/>
      <c r="O28" s="34"/>
      <c r="P28" s="34"/>
      <c r="Q28" s="34"/>
    </row>
    <row r="29" customFormat="false" ht="15" hidden="false" customHeight="false" outlineLevel="0" collapsed="false">
      <c r="B29" s="17"/>
      <c r="C29" s="25"/>
      <c r="D29" s="26"/>
      <c r="E29" s="17"/>
      <c r="F29" s="34"/>
      <c r="G29" s="34"/>
      <c r="H29" s="34"/>
      <c r="I29" s="34"/>
      <c r="J29" s="34"/>
      <c r="K29" s="34"/>
      <c r="L29" s="34"/>
      <c r="M29" s="34"/>
      <c r="N29" s="34"/>
      <c r="O29" s="34"/>
      <c r="P29" s="34"/>
      <c r="Q29" s="34"/>
    </row>
    <row r="30" customFormat="false" ht="15" hidden="false" customHeight="false" outlineLevel="0" collapsed="false">
      <c r="B30" s="17"/>
      <c r="C30" s="25"/>
      <c r="D30" s="26"/>
      <c r="E30" s="17"/>
      <c r="F30" s="34"/>
      <c r="G30" s="34"/>
      <c r="H30" s="34"/>
      <c r="I30" s="34"/>
      <c r="J30" s="34"/>
      <c r="K30" s="34"/>
      <c r="L30" s="34"/>
      <c r="M30" s="34"/>
      <c r="N30" s="34"/>
      <c r="O30" s="34"/>
      <c r="P30" s="34"/>
      <c r="Q30" s="34"/>
    </row>
    <row r="31" customFormat="false" ht="15" hidden="false" customHeight="false" outlineLevel="0" collapsed="false">
      <c r="B31" s="17"/>
      <c r="C31" s="25"/>
      <c r="D31" s="26"/>
      <c r="E31" s="17"/>
      <c r="F31" s="34"/>
      <c r="G31" s="34"/>
      <c r="H31" s="34"/>
      <c r="I31" s="34"/>
      <c r="J31" s="34"/>
      <c r="K31" s="34"/>
      <c r="L31" s="34"/>
      <c r="M31" s="34"/>
      <c r="N31" s="34"/>
      <c r="O31" s="34"/>
      <c r="P31" s="34"/>
      <c r="Q31" s="34"/>
    </row>
    <row r="32" customFormat="false" ht="15" hidden="false" customHeight="false" outlineLevel="0" collapsed="false">
      <c r="B32" s="19" t="s">
        <v>137</v>
      </c>
      <c r="D32" s="23" t="n">
        <f aca="false">SUM(D7:D31)</f>
        <v>1910.99</v>
      </c>
    </row>
  </sheetData>
  <sheetProtection sheet="true" formatColumns="false" formatRows="false" insertRows="false" sort="false" autoFilter="false"/>
  <dataValidations count="2">
    <dataValidation allowBlank="true" errorStyle="stop" operator="between" showDropDown="false" showErrorMessage="false" showInputMessage="false" sqref="F7:Q31" type="list">
      <formula1>"✓"</formula1>
      <formula2>0</formula2>
    </dataValidation>
    <dataValidation allowBlank="true" errorStyle="stop" operator="between" showDropDown="false" showErrorMessage="false" showInputMessage="false" sqref="E7:E31" type="list">
      <formula1>"Yes,No"</formula1>
      <formula2>0</formula2>
    </dataValidation>
  </dataValidations>
  <hyperlinks>
    <hyperlink ref="B4" location="'Start here'!A1" display="Start here"/>
    <hyperlink ref="C4" location="'Dashboard'!A1" display="Dashboard"/>
    <hyperlink ref="E4" location="'Setup'!A1" display="Setup"/>
    <hyperlink ref="F4" location="'January'!A1" display="Months"/>
    <hyperlink ref="H4" location="'Bills'!A1" display="Bills"/>
    <hyperlink ref="J4" location="'Paycheck plan'!A1" display="Paycheck"/>
    <hyperlink ref="L4" location="'Debt payoff'!A1" display="Debt"/>
    <hyperlink ref="N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14"/>
    <col collapsed="false" customWidth="true" hidden="false" outlineLevel="0" max="5" min="4" style="0" width="18"/>
    <col collapsed="false" customWidth="true" hidden="false" outlineLevel="0" max="29" min="6" style="0" width="14"/>
  </cols>
  <sheetData>
    <row r="2" customFormat="false" ht="33.75" hidden="false" customHeight="true" outlineLevel="0" collapsed="false">
      <c r="B2" s="1" t="s">
        <v>138</v>
      </c>
    </row>
    <row r="3" customFormat="false" ht="15" hidden="false" customHeight="false" outlineLevel="0" collapsed="false">
      <c r="B3" s="2" t="s">
        <v>139</v>
      </c>
    </row>
    <row r="4" customFormat="false" ht="15" hidden="false" customHeight="false" outlineLevel="0" collapsed="false">
      <c r="B4" s="3" t="s">
        <v>2</v>
      </c>
      <c r="C4" s="3" t="s">
        <v>3</v>
      </c>
      <c r="D4" s="3" t="s">
        <v>4</v>
      </c>
      <c r="E4" s="3" t="s">
        <v>5</v>
      </c>
      <c r="F4" s="3" t="s">
        <v>6</v>
      </c>
      <c r="G4" s="3" t="s">
        <v>7</v>
      </c>
      <c r="H4" s="3" t="s">
        <v>8</v>
      </c>
      <c r="I4" s="3" t="s">
        <v>9</v>
      </c>
    </row>
    <row r="6" customFormat="false" ht="15" hidden="false" customHeight="false" outlineLevel="0" collapsed="false">
      <c r="B6" s="19" t="s">
        <v>140</v>
      </c>
      <c r="C6" s="35" t="n">
        <f aca="false">DATE(Year,1,1)+MOD(6-WEEKDAY(DATE(Year,1,1)),7)</f>
        <v>46388</v>
      </c>
    </row>
    <row r="7" customFormat="false" ht="15" hidden="false" customHeight="false" outlineLevel="0" collapsed="false">
      <c r="B7" s="19" t="s">
        <v>141</v>
      </c>
      <c r="C7" s="17" t="s">
        <v>142</v>
      </c>
    </row>
    <row r="8" customFormat="false" ht="15" hidden="false" customHeight="false" outlineLevel="0" collapsed="false">
      <c r="B8" s="19" t="s">
        <v>143</v>
      </c>
      <c r="C8" s="26" t="n">
        <f aca="false">ROUND(Setup!$C$10*12/CHOOSE(MATCH($C$7,{"Weekly","Every 2 weeks","Twice a month","Monthly"},0),52,26,24,12),2)</f>
        <v>1661.54</v>
      </c>
      <c r="D8" s="28" t="s">
        <v>144</v>
      </c>
    </row>
    <row r="10" customFormat="false" ht="33.75" hidden="false" customHeight="true" outlineLevel="0" collapsed="false">
      <c r="B10" s="10" t="s">
        <v>145</v>
      </c>
      <c r="C10" s="10" t="s">
        <v>7</v>
      </c>
      <c r="D10" s="10" t="s">
        <v>146</v>
      </c>
      <c r="E10" s="10" t="s">
        <v>147</v>
      </c>
      <c r="F10" s="10" t="s">
        <v>140</v>
      </c>
    </row>
    <row r="11" customFormat="false" ht="15" hidden="false" customHeight="false" outlineLevel="0" collapsed="false">
      <c r="B11" s="36" t="n">
        <f aca="false">$C$6</f>
        <v>46388</v>
      </c>
      <c r="C11" s="26" t="n">
        <f aca="false">IF(B11="","",$C$8)</f>
        <v>1661.54</v>
      </c>
      <c r="D11" s="22" t="n">
        <f aca="false">IF(B11="","",SUMPRODUCT((Bills!$C$7:$C$31&lt;&gt;"")*(DATE(YEAR(B11),MONTH(B11)+(DAY(B11)&gt;Bills!$C$7:$C$31),Bills!$C$7:$C$31)&lt;F11)*Bills!$D$7:$D$31))</f>
        <v>1495</v>
      </c>
      <c r="E11" s="23" t="n">
        <f aca="false">IF(B11="","",C11-D11)</f>
        <v>166.54</v>
      </c>
      <c r="F11" s="37" t="n">
        <f aca="false">IF(B11="","",CHOOSE(MATCH($C$7,{"Weekly","Every 2 weeks","Twice a month","Monthly"},0),B11+7,B11+14,IF(DAY(B11)&lt;15,DATE(YEAR(B11),MONTH(B11),15),DATE(YEAR(B11),MONTH(B11)+1,1)),EDATE(B11,1)))</f>
        <v>46402</v>
      </c>
    </row>
    <row r="12" customFormat="false" ht="15" hidden="false" customHeight="false" outlineLevel="0" collapsed="false">
      <c r="B12" s="36" t="n">
        <f aca="false">IF(F11="","",IF(F11&gt;DATE(Year,12,31),"",F11))</f>
        <v>46402</v>
      </c>
      <c r="C12" s="26" t="n">
        <f aca="false">IF(B12="","",$C$8)</f>
        <v>1661.54</v>
      </c>
      <c r="D12" s="22" t="n">
        <f aca="false">IF(B12="","",SUMPRODUCT((Bills!$C$7:$C$31&lt;&gt;"")*(DATE(YEAR(B12),MONTH(B12)+(DAY(B12)&gt;Bills!$C$7:$C$31),Bills!$C$7:$C$31)&lt;F12)*Bills!$D$7:$D$31))</f>
        <v>415.99</v>
      </c>
      <c r="E12" s="23" t="n">
        <f aca="false">IF(B12="","",C12-D12)</f>
        <v>1245.55</v>
      </c>
      <c r="F12" s="37" t="n">
        <f aca="false">IF(B12="","",CHOOSE(MATCH($C$7,{"Weekly","Every 2 weeks","Twice a month","Monthly"},0),B12+7,B12+14,IF(DAY(B12)&lt;15,DATE(YEAR(B12),MONTH(B12),15),DATE(YEAR(B12),MONTH(B12)+1,1)),EDATE(B12,1)))</f>
        <v>46416</v>
      </c>
    </row>
    <row r="13" customFormat="false" ht="15" hidden="false" customHeight="false" outlineLevel="0" collapsed="false">
      <c r="B13" s="36" t="n">
        <f aca="false">IF(F12="","",IF(F12&gt;DATE(Year,12,31),"",F12))</f>
        <v>46416</v>
      </c>
      <c r="C13" s="26" t="n">
        <f aca="false">IF(B13="","",$C$8)</f>
        <v>1661.54</v>
      </c>
      <c r="D13" s="22" t="n">
        <f aca="false">IF(B13="","",SUMPRODUCT((Bills!$C$7:$C$31&lt;&gt;"")*(DATE(YEAR(B13),MONTH(B13)+(DAY(B13)&gt;Bills!$C$7:$C$31),Bills!$C$7:$C$31)&lt;F13)*Bills!$D$7:$D$31))</f>
        <v>1400</v>
      </c>
      <c r="E13" s="23" t="n">
        <f aca="false">IF(B13="","",C13-D13)</f>
        <v>261.54</v>
      </c>
      <c r="F13" s="37" t="n">
        <f aca="false">IF(B13="","",CHOOSE(MATCH($C$7,{"Weekly","Every 2 weeks","Twice a month","Monthly"},0),B13+7,B13+14,IF(DAY(B13)&lt;15,DATE(YEAR(B13),MONTH(B13),15),DATE(YEAR(B13),MONTH(B13)+1,1)),EDATE(B13,1)))</f>
        <v>46430</v>
      </c>
    </row>
    <row r="14" customFormat="false" ht="15" hidden="false" customHeight="false" outlineLevel="0" collapsed="false">
      <c r="B14" s="36" t="n">
        <f aca="false">IF(F13="","",IF(F13&gt;DATE(Year,12,31),"",F13))</f>
        <v>46430</v>
      </c>
      <c r="C14" s="26" t="n">
        <f aca="false">IF(B14="","",$C$8)</f>
        <v>1661.54</v>
      </c>
      <c r="D14" s="22" t="n">
        <f aca="false">IF(B14="","",SUMPRODUCT((Bills!$C$7:$C$31&lt;&gt;"")*(DATE(YEAR(B14),MONTH(B14)+(DAY(B14)&gt;Bills!$C$7:$C$31),Bills!$C$7:$C$31)&lt;F14)*Bills!$D$7:$D$31))</f>
        <v>510.99</v>
      </c>
      <c r="E14" s="23" t="n">
        <f aca="false">IF(B14="","",C14-D14)</f>
        <v>1150.55</v>
      </c>
      <c r="F14" s="37" t="n">
        <f aca="false">IF(B14="","",CHOOSE(MATCH($C$7,{"Weekly","Every 2 weeks","Twice a month","Monthly"},0),B14+7,B14+14,IF(DAY(B14)&lt;15,DATE(YEAR(B14),MONTH(B14),15),DATE(YEAR(B14),MONTH(B14)+1,1)),EDATE(B14,1)))</f>
        <v>46444</v>
      </c>
    </row>
    <row r="15" customFormat="false" ht="15" hidden="false" customHeight="false" outlineLevel="0" collapsed="false">
      <c r="B15" s="36" t="n">
        <f aca="false">IF(F14="","",IF(F14&gt;DATE(Year,12,31),"",F14))</f>
        <v>46444</v>
      </c>
      <c r="C15" s="26" t="n">
        <f aca="false">IF(B15="","",$C$8)</f>
        <v>1661.54</v>
      </c>
      <c r="D15" s="22" t="n">
        <f aca="false">IF(B15="","",SUMPRODUCT((Bills!$C$7:$C$31&lt;&gt;"")*(DATE(YEAR(B15),MONTH(B15)+(DAY(B15)&gt;Bills!$C$7:$C$31),Bills!$C$7:$C$31)&lt;F15)*Bills!$D$7:$D$31))</f>
        <v>1400</v>
      </c>
      <c r="E15" s="23" t="n">
        <f aca="false">IF(B15="","",C15-D15)</f>
        <v>261.54</v>
      </c>
      <c r="F15" s="37" t="n">
        <f aca="false">IF(B15="","",CHOOSE(MATCH($C$7,{"Weekly","Every 2 weeks","Twice a month","Monthly"},0),B15+7,B15+14,IF(DAY(B15)&lt;15,DATE(YEAR(B15),MONTH(B15),15),DATE(YEAR(B15),MONTH(B15)+1,1)),EDATE(B15,1)))</f>
        <v>46458</v>
      </c>
    </row>
    <row r="16" customFormat="false" ht="15" hidden="false" customHeight="false" outlineLevel="0" collapsed="false">
      <c r="B16" s="36" t="n">
        <f aca="false">IF(F15="","",IF(F15&gt;DATE(Year,12,31),"",F15))</f>
        <v>46458</v>
      </c>
      <c r="C16" s="26" t="n">
        <f aca="false">IF(B16="","",$C$8)</f>
        <v>1661.54</v>
      </c>
      <c r="D16" s="22" t="n">
        <f aca="false">IF(B16="","",SUMPRODUCT((Bills!$C$7:$C$31&lt;&gt;"")*(DATE(YEAR(B16),MONTH(B16)+(DAY(B16)&gt;Bills!$C$7:$C$31),Bills!$C$7:$C$31)&lt;F16)*Bills!$D$7:$D$31))</f>
        <v>510.99</v>
      </c>
      <c r="E16" s="23" t="n">
        <f aca="false">IF(B16="","",C16-D16)</f>
        <v>1150.55</v>
      </c>
      <c r="F16" s="37" t="n">
        <f aca="false">IF(B16="","",CHOOSE(MATCH($C$7,{"Weekly","Every 2 weeks","Twice a month","Monthly"},0),B16+7,B16+14,IF(DAY(B16)&lt;15,DATE(YEAR(B16),MONTH(B16),15),DATE(YEAR(B16),MONTH(B16)+1,1)),EDATE(B16,1)))</f>
        <v>46472</v>
      </c>
    </row>
    <row r="17" customFormat="false" ht="15" hidden="false" customHeight="false" outlineLevel="0" collapsed="false">
      <c r="B17" s="36" t="n">
        <f aca="false">IF(F16="","",IF(F16&gt;DATE(Year,12,31),"",F16))</f>
        <v>46472</v>
      </c>
      <c r="C17" s="26" t="n">
        <f aca="false">IF(B17="","",$C$8)</f>
        <v>1661.54</v>
      </c>
      <c r="D17" s="22" t="n">
        <f aca="false">IF(B17="","",SUMPRODUCT((Bills!$C$7:$C$31&lt;&gt;"")*(DATE(YEAR(B17),MONTH(B17)+(DAY(B17)&gt;Bills!$C$7:$C$31),Bills!$C$7:$C$31)&lt;F17)*Bills!$D$7:$D$31))</f>
        <v>1400</v>
      </c>
      <c r="E17" s="23" t="n">
        <f aca="false">IF(B17="","",C17-D17)</f>
        <v>261.54</v>
      </c>
      <c r="F17" s="37" t="n">
        <f aca="false">IF(B17="","",CHOOSE(MATCH($C$7,{"Weekly","Every 2 weeks","Twice a month","Monthly"},0),B17+7,B17+14,IF(DAY(B17)&lt;15,DATE(YEAR(B17),MONTH(B17),15),DATE(YEAR(B17),MONTH(B17)+1,1)),EDATE(B17,1)))</f>
        <v>46486</v>
      </c>
    </row>
    <row r="18" customFormat="false" ht="15" hidden="false" customHeight="false" outlineLevel="0" collapsed="false">
      <c r="B18" s="36" t="n">
        <f aca="false">IF(F17="","",IF(F17&gt;DATE(Year,12,31),"",F17))</f>
        <v>46486</v>
      </c>
      <c r="C18" s="26" t="n">
        <f aca="false">IF(B18="","",$C$8)</f>
        <v>1661.54</v>
      </c>
      <c r="D18" s="22" t="n">
        <f aca="false">IF(B18="","",SUMPRODUCT((Bills!$C$7:$C$31&lt;&gt;"")*(DATE(YEAR(B18),MONTH(B18)+(DAY(B18)&gt;Bills!$C$7:$C$31),Bills!$C$7:$C$31)&lt;F18)*Bills!$D$7:$D$31))</f>
        <v>360.99</v>
      </c>
      <c r="E18" s="23" t="n">
        <f aca="false">IF(B18="","",C18-D18)</f>
        <v>1300.55</v>
      </c>
      <c r="F18" s="37" t="n">
        <f aca="false">IF(B18="","",CHOOSE(MATCH($C$7,{"Weekly","Every 2 weeks","Twice a month","Monthly"},0),B18+7,B18+14,IF(DAY(B18)&lt;15,DATE(YEAR(B18),MONTH(B18),15),DATE(YEAR(B18),MONTH(B18)+1,1)),EDATE(B18,1)))</f>
        <v>46500</v>
      </c>
    </row>
    <row r="19" customFormat="false" ht="15" hidden="false" customHeight="false" outlineLevel="0" collapsed="false">
      <c r="B19" s="36" t="n">
        <f aca="false">IF(F18="","",IF(F18&gt;DATE(Year,12,31),"",F18))</f>
        <v>46500</v>
      </c>
      <c r="C19" s="26" t="n">
        <f aca="false">IF(B19="","",$C$8)</f>
        <v>1661.54</v>
      </c>
      <c r="D19" s="22" t="n">
        <f aca="false">IF(B19="","",SUMPRODUCT((Bills!$C$7:$C$31&lt;&gt;"")*(DATE(YEAR(B19),MONTH(B19)+(DAY(B19)&gt;Bills!$C$7:$C$31),Bills!$C$7:$C$31)&lt;F19)*Bills!$D$7:$D$31))</f>
        <v>1550</v>
      </c>
      <c r="E19" s="23" t="n">
        <f aca="false">IF(B19="","",C19-D19)</f>
        <v>111.54</v>
      </c>
      <c r="F19" s="37" t="n">
        <f aca="false">IF(B19="","",CHOOSE(MATCH($C$7,{"Weekly","Every 2 weeks","Twice a month","Monthly"},0),B19+7,B19+14,IF(DAY(B19)&lt;15,DATE(YEAR(B19),MONTH(B19),15),DATE(YEAR(B19),MONTH(B19)+1,1)),EDATE(B19,1)))</f>
        <v>46514</v>
      </c>
    </row>
    <row r="20" customFormat="false" ht="15" hidden="false" customHeight="false" outlineLevel="0" collapsed="false">
      <c r="B20" s="36" t="n">
        <f aca="false">IF(F19="","",IF(F19&gt;DATE(Year,12,31),"",F19))</f>
        <v>46514</v>
      </c>
      <c r="C20" s="26" t="n">
        <f aca="false">IF(B20="","",$C$8)</f>
        <v>1661.54</v>
      </c>
      <c r="D20" s="22" t="n">
        <f aca="false">IF(B20="","",SUMPRODUCT((Bills!$C$7:$C$31&lt;&gt;"")*(DATE(YEAR(B20),MONTH(B20)+(DAY(B20)&gt;Bills!$C$7:$C$31),Bills!$C$7:$C$31)&lt;F20)*Bills!$D$7:$D$31))</f>
        <v>270.99</v>
      </c>
      <c r="E20" s="23" t="n">
        <f aca="false">IF(B20="","",C20-D20)</f>
        <v>1390.55</v>
      </c>
      <c r="F20" s="37" t="n">
        <f aca="false">IF(B20="","",CHOOSE(MATCH($C$7,{"Weekly","Every 2 weeks","Twice a month","Monthly"},0),B20+7,B20+14,IF(DAY(B20)&lt;15,DATE(YEAR(B20),MONTH(B20),15),DATE(YEAR(B20),MONTH(B20)+1,1)),EDATE(B20,1)))</f>
        <v>46528</v>
      </c>
    </row>
    <row r="21" customFormat="false" ht="15" hidden="false" customHeight="false" outlineLevel="0" collapsed="false">
      <c r="B21" s="36" t="n">
        <f aca="false">IF(F20="","",IF(F20&gt;DATE(Year,12,31),"",F20))</f>
        <v>46528</v>
      </c>
      <c r="C21" s="26" t="n">
        <f aca="false">IF(B21="","",$C$8)</f>
        <v>1661.54</v>
      </c>
      <c r="D21" s="22" t="n">
        <f aca="false">IF(B21="","",SUMPRODUCT((Bills!$C$7:$C$31&lt;&gt;"")*(DATE(YEAR(B21),MONTH(B21)+(DAY(B21)&gt;Bills!$C$7:$C$31),Bills!$C$7:$C$31)&lt;F21)*Bills!$D$7:$D$31))</f>
        <v>1640</v>
      </c>
      <c r="E21" s="23" t="n">
        <f aca="false">IF(B21="","",C21-D21)</f>
        <v>21.54</v>
      </c>
      <c r="F21" s="37" t="n">
        <f aca="false">IF(B21="","",CHOOSE(MATCH($C$7,{"Weekly","Every 2 weeks","Twice a month","Monthly"},0),B21+7,B21+14,IF(DAY(B21)&lt;15,DATE(YEAR(B21),MONTH(B21),15),DATE(YEAR(B21),MONTH(B21)+1,1)),EDATE(B21,1)))</f>
        <v>46542</v>
      </c>
    </row>
    <row r="22" customFormat="false" ht="15" hidden="false" customHeight="false" outlineLevel="0" collapsed="false">
      <c r="B22" s="36" t="n">
        <f aca="false">IF(F21="","",IF(F21&gt;DATE(Year,12,31),"",F21))</f>
        <v>46542</v>
      </c>
      <c r="C22" s="26" t="n">
        <f aca="false">IF(B22="","",$C$8)</f>
        <v>1661.54</v>
      </c>
      <c r="D22" s="22" t="n">
        <f aca="false">IF(B22="","",SUMPRODUCT((Bills!$C$7:$C$31&lt;&gt;"")*(DATE(YEAR(B22),MONTH(B22)+(DAY(B22)&gt;Bills!$C$7:$C$31),Bills!$C$7:$C$31)&lt;F22)*Bills!$D$7:$D$31))</f>
        <v>95</v>
      </c>
      <c r="E22" s="23" t="n">
        <f aca="false">IF(B22="","",C22-D22)</f>
        <v>1566.54</v>
      </c>
      <c r="F22" s="37" t="n">
        <f aca="false">IF(B22="","",CHOOSE(MATCH($C$7,{"Weekly","Every 2 weeks","Twice a month","Monthly"},0),B22+7,B22+14,IF(DAY(B22)&lt;15,DATE(YEAR(B22),MONTH(B22),15),DATE(YEAR(B22),MONTH(B22)+1,1)),EDATE(B22,1)))</f>
        <v>46556</v>
      </c>
    </row>
    <row r="23" customFormat="false" ht="15" hidden="false" customHeight="false" outlineLevel="0" collapsed="false">
      <c r="B23" s="36" t="n">
        <f aca="false">IF(F22="","",IF(F22&gt;DATE(Year,12,31),"",F22))</f>
        <v>46556</v>
      </c>
      <c r="C23" s="26" t="n">
        <f aca="false">IF(B23="","",$C$8)</f>
        <v>1661.54</v>
      </c>
      <c r="D23" s="22" t="n">
        <f aca="false">IF(B23="","",SUMPRODUCT((Bills!$C$7:$C$31&lt;&gt;"")*(DATE(YEAR(B23),MONTH(B23)+(DAY(B23)&gt;Bills!$C$7:$C$31),Bills!$C$7:$C$31)&lt;F23)*Bills!$D$7:$D$31))</f>
        <v>1815.99</v>
      </c>
      <c r="E23" s="23" t="n">
        <f aca="false">IF(B23="","",C23-D23)</f>
        <v>-154.45</v>
      </c>
      <c r="F23" s="37" t="n">
        <f aca="false">IF(B23="","",CHOOSE(MATCH($C$7,{"Weekly","Every 2 weeks","Twice a month","Monthly"},0),B23+7,B23+14,IF(DAY(B23)&lt;15,DATE(YEAR(B23),MONTH(B23),15),DATE(YEAR(B23),MONTH(B23)+1,1)),EDATE(B23,1)))</f>
        <v>46570</v>
      </c>
    </row>
    <row r="24" customFormat="false" ht="15" hidden="false" customHeight="false" outlineLevel="0" collapsed="false">
      <c r="B24" s="36" t="n">
        <f aca="false">IF(F23="","",IF(F23&gt;DATE(Year,12,31),"",F23))</f>
        <v>46570</v>
      </c>
      <c r="C24" s="26" t="n">
        <f aca="false">IF(B24="","",$C$8)</f>
        <v>1661.54</v>
      </c>
      <c r="D24" s="22" t="n">
        <f aca="false">IF(B24="","",SUMPRODUCT((Bills!$C$7:$C$31&lt;&gt;"")*(DATE(YEAR(B24),MONTH(B24)+(DAY(B24)&gt;Bills!$C$7:$C$31),Bills!$C$7:$C$31)&lt;F24)*Bills!$D$7:$D$31))</f>
        <v>95</v>
      </c>
      <c r="E24" s="23" t="n">
        <f aca="false">IF(B24="","",C24-D24)</f>
        <v>1566.54</v>
      </c>
      <c r="F24" s="37" t="n">
        <f aca="false">IF(B24="","",CHOOSE(MATCH($C$7,{"Weekly","Every 2 weeks","Twice a month","Monthly"},0),B24+7,B24+14,IF(DAY(B24)&lt;15,DATE(YEAR(B24),MONTH(B24),15),DATE(YEAR(B24),MONTH(B24)+1,1)),EDATE(B24,1)))</f>
        <v>46584</v>
      </c>
    </row>
    <row r="25" customFormat="false" ht="15" hidden="false" customHeight="false" outlineLevel="0" collapsed="false">
      <c r="B25" s="36" t="n">
        <f aca="false">IF(F24="","",IF(F24&gt;DATE(Year,12,31),"",F24))</f>
        <v>46584</v>
      </c>
      <c r="C25" s="26" t="n">
        <f aca="false">IF(B25="","",$C$8)</f>
        <v>1661.54</v>
      </c>
      <c r="D25" s="22" t="n">
        <f aca="false">IF(B25="","",SUMPRODUCT((Bills!$C$7:$C$31&lt;&gt;"")*(DATE(YEAR(B25),MONTH(B25)+(DAY(B25)&gt;Bills!$C$7:$C$31),Bills!$C$7:$C$31)&lt;F25)*Bills!$D$7:$D$31))</f>
        <v>415.99</v>
      </c>
      <c r="E25" s="23" t="n">
        <f aca="false">IF(B25="","",C25-D25)</f>
        <v>1245.55</v>
      </c>
      <c r="F25" s="37" t="n">
        <f aca="false">IF(B25="","",CHOOSE(MATCH($C$7,{"Weekly","Every 2 weeks","Twice a month","Monthly"},0),B25+7,B25+14,IF(DAY(B25)&lt;15,DATE(YEAR(B25),MONTH(B25),15),DATE(YEAR(B25),MONTH(B25)+1,1)),EDATE(B25,1)))</f>
        <v>46598</v>
      </c>
    </row>
    <row r="26" customFormat="false" ht="15" hidden="false" customHeight="false" outlineLevel="0" collapsed="false">
      <c r="B26" s="36" t="n">
        <f aca="false">IF(F25="","",IF(F25&gt;DATE(Year,12,31),"",F25))</f>
        <v>46598</v>
      </c>
      <c r="C26" s="26" t="n">
        <f aca="false">IF(B26="","",$C$8)</f>
        <v>1661.54</v>
      </c>
      <c r="D26" s="22" t="n">
        <f aca="false">IF(B26="","",SUMPRODUCT((Bills!$C$7:$C$31&lt;&gt;"")*(DATE(YEAR(B26),MONTH(B26)+(DAY(B26)&gt;Bills!$C$7:$C$31),Bills!$C$7:$C$31)&lt;F26)*Bills!$D$7:$D$31))</f>
        <v>1400</v>
      </c>
      <c r="E26" s="23" t="n">
        <f aca="false">IF(B26="","",C26-D26)</f>
        <v>261.54</v>
      </c>
      <c r="F26" s="37" t="n">
        <f aca="false">IF(B26="","",CHOOSE(MATCH($C$7,{"Weekly","Every 2 weeks","Twice a month","Monthly"},0),B26+7,B26+14,IF(DAY(B26)&lt;15,DATE(YEAR(B26),MONTH(B26),15),DATE(YEAR(B26),MONTH(B26)+1,1)),EDATE(B26,1)))</f>
        <v>46612</v>
      </c>
    </row>
    <row r="27" customFormat="false" ht="15" hidden="false" customHeight="false" outlineLevel="0" collapsed="false">
      <c r="B27" s="36" t="n">
        <f aca="false">IF(F26="","",IF(F26&gt;DATE(Year,12,31),"",F26))</f>
        <v>46612</v>
      </c>
      <c r="C27" s="26" t="n">
        <f aca="false">IF(B27="","",$C$8)</f>
        <v>1661.54</v>
      </c>
      <c r="D27" s="22" t="n">
        <f aca="false">IF(B27="","",SUMPRODUCT((Bills!$C$7:$C$31&lt;&gt;"")*(DATE(YEAR(B27),MONTH(B27)+(DAY(B27)&gt;Bills!$C$7:$C$31),Bills!$C$7:$C$31)&lt;F27)*Bills!$D$7:$D$31))</f>
        <v>510.99</v>
      </c>
      <c r="E27" s="23" t="n">
        <f aca="false">IF(B27="","",C27-D27)</f>
        <v>1150.55</v>
      </c>
      <c r="F27" s="37" t="n">
        <f aca="false">IF(B27="","",CHOOSE(MATCH($C$7,{"Weekly","Every 2 weeks","Twice a month","Monthly"},0),B27+7,B27+14,IF(DAY(B27)&lt;15,DATE(YEAR(B27),MONTH(B27),15),DATE(YEAR(B27),MONTH(B27)+1,1)),EDATE(B27,1)))</f>
        <v>46626</v>
      </c>
    </row>
    <row r="28" customFormat="false" ht="15" hidden="false" customHeight="false" outlineLevel="0" collapsed="false">
      <c r="B28" s="36" t="n">
        <f aca="false">IF(F27="","",IF(F27&gt;DATE(Year,12,31),"",F27))</f>
        <v>46626</v>
      </c>
      <c r="C28" s="26" t="n">
        <f aca="false">IF(B28="","",$C$8)</f>
        <v>1661.54</v>
      </c>
      <c r="D28" s="22" t="n">
        <f aca="false">IF(B28="","",SUMPRODUCT((Bills!$C$7:$C$31&lt;&gt;"")*(DATE(YEAR(B28),MONTH(B28)+(DAY(B28)&gt;Bills!$C$7:$C$31),Bills!$C$7:$C$31)&lt;F28)*Bills!$D$7:$D$31))</f>
        <v>1400</v>
      </c>
      <c r="E28" s="23" t="n">
        <f aca="false">IF(B28="","",C28-D28)</f>
        <v>261.54</v>
      </c>
      <c r="F28" s="37" t="n">
        <f aca="false">IF(B28="","",CHOOSE(MATCH($C$7,{"Weekly","Every 2 weeks","Twice a month","Monthly"},0),B28+7,B28+14,IF(DAY(B28)&lt;15,DATE(YEAR(B28),MONTH(B28),15),DATE(YEAR(B28),MONTH(B28)+1,1)),EDATE(B28,1)))</f>
        <v>46640</v>
      </c>
    </row>
    <row r="29" customFormat="false" ht="15" hidden="false" customHeight="false" outlineLevel="0" collapsed="false">
      <c r="B29" s="36" t="n">
        <f aca="false">IF(F28="","",IF(F28&gt;DATE(Year,12,31),"",F28))</f>
        <v>46640</v>
      </c>
      <c r="C29" s="26" t="n">
        <f aca="false">IF(B29="","",$C$8)</f>
        <v>1661.54</v>
      </c>
      <c r="D29" s="22" t="n">
        <f aca="false">IF(B29="","",SUMPRODUCT((Bills!$C$7:$C$31&lt;&gt;"")*(DATE(YEAR(B29),MONTH(B29)+(DAY(B29)&gt;Bills!$C$7:$C$31),Bills!$C$7:$C$31)&lt;F29)*Bills!$D$7:$D$31))</f>
        <v>360.99</v>
      </c>
      <c r="E29" s="23" t="n">
        <f aca="false">IF(B29="","",C29-D29)</f>
        <v>1300.55</v>
      </c>
      <c r="F29" s="37" t="n">
        <f aca="false">IF(B29="","",CHOOSE(MATCH($C$7,{"Weekly","Every 2 weeks","Twice a month","Monthly"},0),B29+7,B29+14,IF(DAY(B29)&lt;15,DATE(YEAR(B29),MONTH(B29),15),DATE(YEAR(B29),MONTH(B29)+1,1)),EDATE(B29,1)))</f>
        <v>46654</v>
      </c>
    </row>
    <row r="30" customFormat="false" ht="15" hidden="false" customHeight="false" outlineLevel="0" collapsed="false">
      <c r="B30" s="36" t="n">
        <f aca="false">IF(F29="","",IF(F29&gt;DATE(Year,12,31),"",F29))</f>
        <v>46654</v>
      </c>
      <c r="C30" s="26" t="n">
        <f aca="false">IF(B30="","",$C$8)</f>
        <v>1661.54</v>
      </c>
      <c r="D30" s="22" t="n">
        <f aca="false">IF(B30="","",SUMPRODUCT((Bills!$C$7:$C$31&lt;&gt;"")*(DATE(YEAR(B30),MONTH(B30)+(DAY(B30)&gt;Bills!$C$7:$C$31),Bills!$C$7:$C$31)&lt;F30)*Bills!$D$7:$D$31))</f>
        <v>1550</v>
      </c>
      <c r="E30" s="23" t="n">
        <f aca="false">IF(B30="","",C30-D30)</f>
        <v>111.54</v>
      </c>
      <c r="F30" s="37" t="n">
        <f aca="false">IF(B30="","",CHOOSE(MATCH($C$7,{"Weekly","Every 2 weeks","Twice a month","Monthly"},0),B30+7,B30+14,IF(DAY(B30)&lt;15,DATE(YEAR(B30),MONTH(B30),15),DATE(YEAR(B30),MONTH(B30)+1,1)),EDATE(B30,1)))</f>
        <v>46668</v>
      </c>
    </row>
    <row r="31" customFormat="false" ht="15" hidden="false" customHeight="false" outlineLevel="0" collapsed="false">
      <c r="B31" s="36" t="n">
        <f aca="false">IF(F30="","",IF(F30&gt;DATE(Year,12,31),"",F30))</f>
        <v>46668</v>
      </c>
      <c r="C31" s="26" t="n">
        <f aca="false">IF(B31="","",$C$8)</f>
        <v>1661.54</v>
      </c>
      <c r="D31" s="22" t="n">
        <f aca="false">IF(B31="","",SUMPRODUCT((Bills!$C$7:$C$31&lt;&gt;"")*(DATE(YEAR(B31),MONTH(B31)+(DAY(B31)&gt;Bills!$C$7:$C$31),Bills!$C$7:$C$31)&lt;F31)*Bills!$D$7:$D$31))</f>
        <v>270.99</v>
      </c>
      <c r="E31" s="23" t="n">
        <f aca="false">IF(B31="","",C31-D31)</f>
        <v>1390.55</v>
      </c>
      <c r="F31" s="37" t="n">
        <f aca="false">IF(B31="","",CHOOSE(MATCH($C$7,{"Weekly","Every 2 weeks","Twice a month","Monthly"},0),B31+7,B31+14,IF(DAY(B31)&lt;15,DATE(YEAR(B31),MONTH(B31),15),DATE(YEAR(B31),MONTH(B31)+1,1)),EDATE(B31,1)))</f>
        <v>46682</v>
      </c>
    </row>
    <row r="32" customFormat="false" ht="15" hidden="false" customHeight="false" outlineLevel="0" collapsed="false">
      <c r="B32" s="36" t="n">
        <f aca="false">IF(F31="","",IF(F31&gt;DATE(Year,12,31),"",F31))</f>
        <v>46682</v>
      </c>
      <c r="C32" s="26" t="n">
        <f aca="false">IF(B32="","",$C$8)</f>
        <v>1661.54</v>
      </c>
      <c r="D32" s="22" t="n">
        <f aca="false">IF(B32="","",SUMPRODUCT((Bills!$C$7:$C$31&lt;&gt;"")*(DATE(YEAR(B32),MONTH(B32)+(DAY(B32)&gt;Bills!$C$7:$C$31),Bills!$C$7:$C$31)&lt;F32)*Bills!$D$7:$D$31))</f>
        <v>1640</v>
      </c>
      <c r="E32" s="23" t="n">
        <f aca="false">IF(B32="","",C32-D32)</f>
        <v>21.54</v>
      </c>
      <c r="F32" s="37" t="n">
        <f aca="false">IF(B32="","",CHOOSE(MATCH($C$7,{"Weekly","Every 2 weeks","Twice a month","Monthly"},0),B32+7,B32+14,IF(DAY(B32)&lt;15,DATE(YEAR(B32),MONTH(B32),15),DATE(YEAR(B32),MONTH(B32)+1,1)),EDATE(B32,1)))</f>
        <v>46696</v>
      </c>
    </row>
    <row r="33" customFormat="false" ht="15" hidden="false" customHeight="false" outlineLevel="0" collapsed="false">
      <c r="B33" s="36" t="n">
        <f aca="false">IF(F32="","",IF(F32&gt;DATE(Year,12,31),"",F32))</f>
        <v>46696</v>
      </c>
      <c r="C33" s="26" t="n">
        <f aca="false">IF(B33="","",$C$8)</f>
        <v>1661.54</v>
      </c>
      <c r="D33" s="22" t="n">
        <f aca="false">IF(B33="","",SUMPRODUCT((Bills!$C$7:$C$31&lt;&gt;"")*(DATE(YEAR(B33),MONTH(B33)+(DAY(B33)&gt;Bills!$C$7:$C$31),Bills!$C$7:$C$31)&lt;F33)*Bills!$D$7:$D$31))</f>
        <v>110.99</v>
      </c>
      <c r="E33" s="23" t="n">
        <f aca="false">IF(B33="","",C33-D33)</f>
        <v>1550.55</v>
      </c>
      <c r="F33" s="37" t="n">
        <f aca="false">IF(B33="","",CHOOSE(MATCH($C$7,{"Weekly","Every 2 weeks","Twice a month","Monthly"},0),B33+7,B33+14,IF(DAY(B33)&lt;15,DATE(YEAR(B33),MONTH(B33),15),DATE(YEAR(B33),MONTH(B33)+1,1)),EDATE(B33,1)))</f>
        <v>46710</v>
      </c>
    </row>
    <row r="34" customFormat="false" ht="15" hidden="false" customHeight="false" outlineLevel="0" collapsed="false">
      <c r="B34" s="36" t="n">
        <f aca="false">IF(F33="","",IF(F33&gt;DATE(Year,12,31),"",F33))</f>
        <v>46710</v>
      </c>
      <c r="C34" s="26" t="n">
        <f aca="false">IF(B34="","",$C$8)</f>
        <v>1661.54</v>
      </c>
      <c r="D34" s="22" t="n">
        <f aca="false">IF(B34="","",SUMPRODUCT((Bills!$C$7:$C$31&lt;&gt;"")*(DATE(YEAR(B34),MONTH(B34)+(DAY(B34)&gt;Bills!$C$7:$C$31),Bills!$C$7:$C$31)&lt;F34)*Bills!$D$7:$D$31))</f>
        <v>1800</v>
      </c>
      <c r="E34" s="23" t="n">
        <f aca="false">IF(B34="","",C34-D34)</f>
        <v>-138.46</v>
      </c>
      <c r="F34" s="37" t="n">
        <f aca="false">IF(B34="","",CHOOSE(MATCH($C$7,{"Weekly","Every 2 weeks","Twice a month","Monthly"},0),B34+7,B34+14,IF(DAY(B34)&lt;15,DATE(YEAR(B34),MONTH(B34),15),DATE(YEAR(B34),MONTH(B34)+1,1)),EDATE(B34,1)))</f>
        <v>46724</v>
      </c>
    </row>
    <row r="35" customFormat="false" ht="15" hidden="false" customHeight="false" outlineLevel="0" collapsed="false">
      <c r="B35" s="36" t="n">
        <f aca="false">IF(F34="","",IF(F34&gt;DATE(Year,12,31),"",F34))</f>
        <v>46724</v>
      </c>
      <c r="C35" s="26" t="n">
        <f aca="false">IF(B35="","",$C$8)</f>
        <v>1661.54</v>
      </c>
      <c r="D35" s="22" t="n">
        <f aca="false">IF(B35="","",SUMPRODUCT((Bills!$C$7:$C$31&lt;&gt;"")*(DATE(YEAR(B35),MONTH(B35)+(DAY(B35)&gt;Bills!$C$7:$C$31),Bills!$C$7:$C$31)&lt;F35)*Bills!$D$7:$D$31))</f>
        <v>95</v>
      </c>
      <c r="E35" s="23" t="n">
        <f aca="false">IF(B35="","",C35-D35)</f>
        <v>1566.54</v>
      </c>
      <c r="F35" s="37" t="n">
        <f aca="false">IF(B35="","",CHOOSE(MATCH($C$7,{"Weekly","Every 2 weeks","Twice a month","Monthly"},0),B35+7,B35+14,IF(DAY(B35)&lt;15,DATE(YEAR(B35),MONTH(B35),15),DATE(YEAR(B35),MONTH(B35)+1,1)),EDATE(B35,1)))</f>
        <v>46738</v>
      </c>
    </row>
    <row r="36" customFormat="false" ht="15" hidden="false" customHeight="false" outlineLevel="0" collapsed="false">
      <c r="B36" s="36" t="n">
        <f aca="false">IF(F35="","",IF(F35&gt;DATE(Year,12,31),"",F35))</f>
        <v>46738</v>
      </c>
      <c r="C36" s="26" t="n">
        <f aca="false">IF(B36="","",$C$8)</f>
        <v>1661.54</v>
      </c>
      <c r="D36" s="22" t="n">
        <f aca="false">IF(B36="","",SUMPRODUCT((Bills!$C$7:$C$31&lt;&gt;"")*(DATE(YEAR(B36),MONTH(B36)+(DAY(B36)&gt;Bills!$C$7:$C$31),Bills!$C$7:$C$31)&lt;F36)*Bills!$D$7:$D$31))</f>
        <v>415.99</v>
      </c>
      <c r="E36" s="23" t="n">
        <f aca="false">IF(B36="","",C36-D36)</f>
        <v>1245.55</v>
      </c>
      <c r="F36" s="37" t="n">
        <f aca="false">IF(B36="","",CHOOSE(MATCH($C$7,{"Weekly","Every 2 weeks","Twice a month","Monthly"},0),B36+7,B36+14,IF(DAY(B36)&lt;15,DATE(YEAR(B36),MONTH(B36),15),DATE(YEAR(B36),MONTH(B36)+1,1)),EDATE(B36,1)))</f>
        <v>46752</v>
      </c>
    </row>
    <row r="37" customFormat="false" ht="15" hidden="false" customHeight="false" outlineLevel="0" collapsed="false">
      <c r="B37" s="36" t="n">
        <f aca="false">IF(F36="","",IF(F36&gt;DATE(Year,12,31),"",F36))</f>
        <v>46752</v>
      </c>
      <c r="C37" s="26" t="n">
        <f aca="false">IF(B37="","",$C$8)</f>
        <v>1661.54</v>
      </c>
      <c r="D37" s="22" t="n">
        <f aca="false">IF(B37="","",SUMPRODUCT((Bills!$C$7:$C$31&lt;&gt;"")*(DATE(YEAR(B37),MONTH(B37)+(DAY(B37)&gt;Bills!$C$7:$C$31),Bills!$C$7:$C$31)&lt;F37)*Bills!$D$7:$D$31))</f>
        <v>1400</v>
      </c>
      <c r="E37" s="23" t="n">
        <f aca="false">IF(B37="","",C37-D37)</f>
        <v>261.54</v>
      </c>
      <c r="F37" s="37" t="n">
        <f aca="false">IF(B37="","",CHOOSE(MATCH($C$7,{"Weekly","Every 2 weeks","Twice a month","Monthly"},0),B37+7,B37+14,IF(DAY(B37)&lt;15,DATE(YEAR(B37),MONTH(B37),15),DATE(YEAR(B37),MONTH(B37)+1,1)),EDATE(B37,1)))</f>
        <v>46766</v>
      </c>
    </row>
    <row r="38" customFormat="false" ht="15" hidden="false" customHeight="false" outlineLevel="0" collapsed="false">
      <c r="B38" s="36" t="str">
        <f aca="false">IF(F37="","",IF(F37&gt;DATE(Year,12,31),"",F37))</f>
        <v/>
      </c>
      <c r="C38" s="26" t="str">
        <f aca="false">IF(B38="","",$C$8)</f>
        <v/>
      </c>
      <c r="D38" s="22" t="str">
        <f aca="false">IF(B38="","",SUMPRODUCT((Bills!$C$7:$C$31&lt;&gt;"")*(DATE(YEAR(B38),MONTH(B38)+(DAY(B38)&gt;Bills!$C$7:$C$31),Bills!$C$7:$C$31)&lt;F38)*Bills!$D$7:$D$31))</f>
        <v/>
      </c>
      <c r="E38" s="23" t="str">
        <f aca="false">IF(B38="","",C38-D38)</f>
        <v/>
      </c>
      <c r="F38" s="37" t="str">
        <f aca="false">IF(B38="","",CHOOSE(MATCH($C$7,{"Weekly","Every 2 weeks","Twice a month","Monthly"},0),B38+7,B38+14,IF(DAY(B38)&lt;15,DATE(YEAR(B38),MONTH(B38),15),DATE(YEAR(B38),MONTH(B38)+1,1)),EDATE(B38,1)))</f>
        <v/>
      </c>
    </row>
    <row r="39" customFormat="false" ht="15" hidden="false" customHeight="false" outlineLevel="0" collapsed="false">
      <c r="B39" s="36" t="str">
        <f aca="false">IF(F38="","",IF(F38&gt;DATE(Year,12,31),"",F38))</f>
        <v/>
      </c>
      <c r="C39" s="26" t="str">
        <f aca="false">IF(B39="","",$C$8)</f>
        <v/>
      </c>
      <c r="D39" s="22" t="str">
        <f aca="false">IF(B39="","",SUMPRODUCT((Bills!$C$7:$C$31&lt;&gt;"")*(DATE(YEAR(B39),MONTH(B39)+(DAY(B39)&gt;Bills!$C$7:$C$31),Bills!$C$7:$C$31)&lt;F39)*Bills!$D$7:$D$31))</f>
        <v/>
      </c>
      <c r="E39" s="23" t="str">
        <f aca="false">IF(B39="","",C39-D39)</f>
        <v/>
      </c>
      <c r="F39" s="37" t="str">
        <f aca="false">IF(B39="","",CHOOSE(MATCH($C$7,{"Weekly","Every 2 weeks","Twice a month","Monthly"},0),B39+7,B39+14,IF(DAY(B39)&lt;15,DATE(YEAR(B39),MONTH(B39),15),DATE(YEAR(B39),MONTH(B39)+1,1)),EDATE(B39,1)))</f>
        <v/>
      </c>
    </row>
    <row r="40" customFormat="false" ht="15" hidden="false" customHeight="false" outlineLevel="0" collapsed="false">
      <c r="B40" s="36" t="str">
        <f aca="false">IF(F39="","",IF(F39&gt;DATE(Year,12,31),"",F39))</f>
        <v/>
      </c>
      <c r="C40" s="26" t="str">
        <f aca="false">IF(B40="","",$C$8)</f>
        <v/>
      </c>
      <c r="D40" s="22" t="str">
        <f aca="false">IF(B40="","",SUMPRODUCT((Bills!$C$7:$C$31&lt;&gt;"")*(DATE(YEAR(B40),MONTH(B40)+(DAY(B40)&gt;Bills!$C$7:$C$31),Bills!$C$7:$C$31)&lt;F40)*Bills!$D$7:$D$31))</f>
        <v/>
      </c>
      <c r="E40" s="23" t="str">
        <f aca="false">IF(B40="","",C40-D40)</f>
        <v/>
      </c>
      <c r="F40" s="37" t="str">
        <f aca="false">IF(B40="","",CHOOSE(MATCH($C$7,{"Weekly","Every 2 weeks","Twice a month","Monthly"},0),B40+7,B40+14,IF(DAY(B40)&lt;15,DATE(YEAR(B40),MONTH(B40),15),DATE(YEAR(B40),MONTH(B40)+1,1)),EDATE(B40,1)))</f>
        <v/>
      </c>
    </row>
    <row r="41" customFormat="false" ht="15" hidden="false" customHeight="false" outlineLevel="0" collapsed="false">
      <c r="B41" s="36" t="str">
        <f aca="false">IF(F40="","",IF(F40&gt;DATE(Year,12,31),"",F40))</f>
        <v/>
      </c>
      <c r="C41" s="26" t="str">
        <f aca="false">IF(B41="","",$C$8)</f>
        <v/>
      </c>
      <c r="D41" s="22" t="str">
        <f aca="false">IF(B41="","",SUMPRODUCT((Bills!$C$7:$C$31&lt;&gt;"")*(DATE(YEAR(B41),MONTH(B41)+(DAY(B41)&gt;Bills!$C$7:$C$31),Bills!$C$7:$C$31)&lt;F41)*Bills!$D$7:$D$31))</f>
        <v/>
      </c>
      <c r="E41" s="23" t="str">
        <f aca="false">IF(B41="","",C41-D41)</f>
        <v/>
      </c>
      <c r="F41" s="37" t="str">
        <f aca="false">IF(B41="","",CHOOSE(MATCH($C$7,{"Weekly","Every 2 weeks","Twice a month","Monthly"},0),B41+7,B41+14,IF(DAY(B41)&lt;15,DATE(YEAR(B41),MONTH(B41),15),DATE(YEAR(B41),MONTH(B41)+1,1)),EDATE(B41,1)))</f>
        <v/>
      </c>
    </row>
    <row r="42" customFormat="false" ht="15" hidden="false" customHeight="false" outlineLevel="0" collapsed="false">
      <c r="B42" s="36" t="str">
        <f aca="false">IF(F41="","",IF(F41&gt;DATE(Year,12,31),"",F41))</f>
        <v/>
      </c>
      <c r="C42" s="26" t="str">
        <f aca="false">IF(B42="","",$C$8)</f>
        <v/>
      </c>
      <c r="D42" s="22" t="str">
        <f aca="false">IF(B42="","",SUMPRODUCT((Bills!$C$7:$C$31&lt;&gt;"")*(DATE(YEAR(B42),MONTH(B42)+(DAY(B42)&gt;Bills!$C$7:$C$31),Bills!$C$7:$C$31)&lt;F42)*Bills!$D$7:$D$31))</f>
        <v/>
      </c>
      <c r="E42" s="23" t="str">
        <f aca="false">IF(B42="","",C42-D42)</f>
        <v/>
      </c>
      <c r="F42" s="37" t="str">
        <f aca="false">IF(B42="","",CHOOSE(MATCH($C$7,{"Weekly","Every 2 weeks","Twice a month","Monthly"},0),B42+7,B42+14,IF(DAY(B42)&lt;15,DATE(YEAR(B42),MONTH(B42),15),DATE(YEAR(B42),MONTH(B42)+1,1)),EDATE(B42,1)))</f>
        <v/>
      </c>
    </row>
    <row r="43" customFormat="false" ht="15" hidden="false" customHeight="false" outlineLevel="0" collapsed="false">
      <c r="B43" s="36" t="str">
        <f aca="false">IF(F42="","",IF(F42&gt;DATE(Year,12,31),"",F42))</f>
        <v/>
      </c>
      <c r="C43" s="26" t="str">
        <f aca="false">IF(B43="","",$C$8)</f>
        <v/>
      </c>
      <c r="D43" s="22" t="str">
        <f aca="false">IF(B43="","",SUMPRODUCT((Bills!$C$7:$C$31&lt;&gt;"")*(DATE(YEAR(B43),MONTH(B43)+(DAY(B43)&gt;Bills!$C$7:$C$31),Bills!$C$7:$C$31)&lt;F43)*Bills!$D$7:$D$31))</f>
        <v/>
      </c>
      <c r="E43" s="23" t="str">
        <f aca="false">IF(B43="","",C43-D43)</f>
        <v/>
      </c>
      <c r="F43" s="37" t="str">
        <f aca="false">IF(B43="","",CHOOSE(MATCH($C$7,{"Weekly","Every 2 weeks","Twice a month","Monthly"},0),B43+7,B43+14,IF(DAY(B43)&lt;15,DATE(YEAR(B43),MONTH(B43),15),DATE(YEAR(B43),MONTH(B43)+1,1)),EDATE(B43,1)))</f>
        <v/>
      </c>
    </row>
    <row r="44" customFormat="false" ht="15" hidden="false" customHeight="false" outlineLevel="0" collapsed="false">
      <c r="B44" s="36" t="str">
        <f aca="false">IF(F43="","",IF(F43&gt;DATE(Year,12,31),"",F43))</f>
        <v/>
      </c>
      <c r="C44" s="26" t="str">
        <f aca="false">IF(B44="","",$C$8)</f>
        <v/>
      </c>
      <c r="D44" s="22" t="str">
        <f aca="false">IF(B44="","",SUMPRODUCT((Bills!$C$7:$C$31&lt;&gt;"")*(DATE(YEAR(B44),MONTH(B44)+(DAY(B44)&gt;Bills!$C$7:$C$31),Bills!$C$7:$C$31)&lt;F44)*Bills!$D$7:$D$31))</f>
        <v/>
      </c>
      <c r="E44" s="23" t="str">
        <f aca="false">IF(B44="","",C44-D44)</f>
        <v/>
      </c>
      <c r="F44" s="37" t="str">
        <f aca="false">IF(B44="","",CHOOSE(MATCH($C$7,{"Weekly","Every 2 weeks","Twice a month","Monthly"},0),B44+7,B44+14,IF(DAY(B44)&lt;15,DATE(YEAR(B44),MONTH(B44),15),DATE(YEAR(B44),MONTH(B44)+1,1)),EDATE(B44,1)))</f>
        <v/>
      </c>
    </row>
    <row r="45" customFormat="false" ht="15" hidden="false" customHeight="false" outlineLevel="0" collapsed="false">
      <c r="B45" s="36" t="str">
        <f aca="false">IF(F44="","",IF(F44&gt;DATE(Year,12,31),"",F44))</f>
        <v/>
      </c>
      <c r="C45" s="26" t="str">
        <f aca="false">IF(B45="","",$C$8)</f>
        <v/>
      </c>
      <c r="D45" s="22" t="str">
        <f aca="false">IF(B45="","",SUMPRODUCT((Bills!$C$7:$C$31&lt;&gt;"")*(DATE(YEAR(B45),MONTH(B45)+(DAY(B45)&gt;Bills!$C$7:$C$31),Bills!$C$7:$C$31)&lt;F45)*Bills!$D$7:$D$31))</f>
        <v/>
      </c>
      <c r="E45" s="23" t="str">
        <f aca="false">IF(B45="","",C45-D45)</f>
        <v/>
      </c>
      <c r="F45" s="37" t="str">
        <f aca="false">IF(B45="","",CHOOSE(MATCH($C$7,{"Weekly","Every 2 weeks","Twice a month","Monthly"},0),B45+7,B45+14,IF(DAY(B45)&lt;15,DATE(YEAR(B45),MONTH(B45),15),DATE(YEAR(B45),MONTH(B45)+1,1)),EDATE(B45,1)))</f>
        <v/>
      </c>
    </row>
    <row r="46" customFormat="false" ht="15" hidden="false" customHeight="false" outlineLevel="0" collapsed="false">
      <c r="B46" s="36" t="str">
        <f aca="false">IF(F45="","",IF(F45&gt;DATE(Year,12,31),"",F45))</f>
        <v/>
      </c>
      <c r="C46" s="26" t="str">
        <f aca="false">IF(B46="","",$C$8)</f>
        <v/>
      </c>
      <c r="D46" s="22" t="str">
        <f aca="false">IF(B46="","",SUMPRODUCT((Bills!$C$7:$C$31&lt;&gt;"")*(DATE(YEAR(B46),MONTH(B46)+(DAY(B46)&gt;Bills!$C$7:$C$31),Bills!$C$7:$C$31)&lt;F46)*Bills!$D$7:$D$31))</f>
        <v/>
      </c>
      <c r="E46" s="23" t="str">
        <f aca="false">IF(B46="","",C46-D46)</f>
        <v/>
      </c>
      <c r="F46" s="37" t="str">
        <f aca="false">IF(B46="","",CHOOSE(MATCH($C$7,{"Weekly","Every 2 weeks","Twice a month","Monthly"},0),B46+7,B46+14,IF(DAY(B46)&lt;15,DATE(YEAR(B46),MONTH(B46),15),DATE(YEAR(B46),MONTH(B46)+1,1)),EDATE(B46,1)))</f>
        <v/>
      </c>
    </row>
    <row r="47" customFormat="false" ht="15" hidden="false" customHeight="false" outlineLevel="0" collapsed="false">
      <c r="B47" s="36" t="str">
        <f aca="false">IF(F46="","",IF(F46&gt;DATE(Year,12,31),"",F46))</f>
        <v/>
      </c>
      <c r="C47" s="26" t="str">
        <f aca="false">IF(B47="","",$C$8)</f>
        <v/>
      </c>
      <c r="D47" s="22" t="str">
        <f aca="false">IF(B47="","",SUMPRODUCT((Bills!$C$7:$C$31&lt;&gt;"")*(DATE(YEAR(B47),MONTH(B47)+(DAY(B47)&gt;Bills!$C$7:$C$31),Bills!$C$7:$C$31)&lt;F47)*Bills!$D$7:$D$31))</f>
        <v/>
      </c>
      <c r="E47" s="23" t="str">
        <f aca="false">IF(B47="","",C47-D47)</f>
        <v/>
      </c>
      <c r="F47" s="37" t="str">
        <f aca="false">IF(B47="","",CHOOSE(MATCH($C$7,{"Weekly","Every 2 weeks","Twice a month","Monthly"},0),B47+7,B47+14,IF(DAY(B47)&lt;15,DATE(YEAR(B47),MONTH(B47),15),DATE(YEAR(B47),MONTH(B47)+1,1)),EDATE(B47,1)))</f>
        <v/>
      </c>
    </row>
    <row r="48" customFormat="false" ht="15" hidden="false" customHeight="false" outlineLevel="0" collapsed="false">
      <c r="B48" s="36" t="str">
        <f aca="false">IF(F47="","",IF(F47&gt;DATE(Year,12,31),"",F47))</f>
        <v/>
      </c>
      <c r="C48" s="26" t="str">
        <f aca="false">IF(B48="","",$C$8)</f>
        <v/>
      </c>
      <c r="D48" s="22" t="str">
        <f aca="false">IF(B48="","",SUMPRODUCT((Bills!$C$7:$C$31&lt;&gt;"")*(DATE(YEAR(B48),MONTH(B48)+(DAY(B48)&gt;Bills!$C$7:$C$31),Bills!$C$7:$C$31)&lt;F48)*Bills!$D$7:$D$31))</f>
        <v/>
      </c>
      <c r="E48" s="23" t="str">
        <f aca="false">IF(B48="","",C48-D48)</f>
        <v/>
      </c>
      <c r="F48" s="37" t="str">
        <f aca="false">IF(B48="","",CHOOSE(MATCH($C$7,{"Weekly","Every 2 weeks","Twice a month","Monthly"},0),B48+7,B48+14,IF(DAY(B48)&lt;15,DATE(YEAR(B48),MONTH(B48),15),DATE(YEAR(B48),MONTH(B48)+1,1)),EDATE(B48,1)))</f>
        <v/>
      </c>
    </row>
    <row r="49" customFormat="false" ht="15" hidden="false" customHeight="false" outlineLevel="0" collapsed="false">
      <c r="B49" s="36" t="str">
        <f aca="false">IF(F48="","",IF(F48&gt;DATE(Year,12,31),"",F48))</f>
        <v/>
      </c>
      <c r="C49" s="26" t="str">
        <f aca="false">IF(B49="","",$C$8)</f>
        <v/>
      </c>
      <c r="D49" s="22" t="str">
        <f aca="false">IF(B49="","",SUMPRODUCT((Bills!$C$7:$C$31&lt;&gt;"")*(DATE(YEAR(B49),MONTH(B49)+(DAY(B49)&gt;Bills!$C$7:$C$31),Bills!$C$7:$C$31)&lt;F49)*Bills!$D$7:$D$31))</f>
        <v/>
      </c>
      <c r="E49" s="23" t="str">
        <f aca="false">IF(B49="","",C49-D49)</f>
        <v/>
      </c>
      <c r="F49" s="37" t="str">
        <f aca="false">IF(B49="","",CHOOSE(MATCH($C$7,{"Weekly","Every 2 weeks","Twice a month","Monthly"},0),B49+7,B49+14,IF(DAY(B49)&lt;15,DATE(YEAR(B49),MONTH(B49),15),DATE(YEAR(B49),MONTH(B49)+1,1)),EDATE(B49,1)))</f>
        <v/>
      </c>
    </row>
    <row r="50" customFormat="false" ht="15" hidden="false" customHeight="false" outlineLevel="0" collapsed="false">
      <c r="B50" s="36" t="str">
        <f aca="false">IF(F49="","",IF(F49&gt;DATE(Year,12,31),"",F49))</f>
        <v/>
      </c>
      <c r="C50" s="26" t="str">
        <f aca="false">IF(B50="","",$C$8)</f>
        <v/>
      </c>
      <c r="D50" s="22" t="str">
        <f aca="false">IF(B50="","",SUMPRODUCT((Bills!$C$7:$C$31&lt;&gt;"")*(DATE(YEAR(B50),MONTH(B50)+(DAY(B50)&gt;Bills!$C$7:$C$31),Bills!$C$7:$C$31)&lt;F50)*Bills!$D$7:$D$31))</f>
        <v/>
      </c>
      <c r="E50" s="23" t="str">
        <f aca="false">IF(B50="","",C50-D50)</f>
        <v/>
      </c>
      <c r="F50" s="37" t="str">
        <f aca="false">IF(B50="","",CHOOSE(MATCH($C$7,{"Weekly","Every 2 weeks","Twice a month","Monthly"},0),B50+7,B50+14,IF(DAY(B50)&lt;15,DATE(YEAR(B50),MONTH(B50),15),DATE(YEAR(B50),MONTH(B50)+1,1)),EDATE(B50,1)))</f>
        <v/>
      </c>
    </row>
    <row r="51" customFormat="false" ht="15" hidden="false" customHeight="false" outlineLevel="0" collapsed="false">
      <c r="B51" s="36" t="str">
        <f aca="false">IF(F50="","",IF(F50&gt;DATE(Year,12,31),"",F50))</f>
        <v/>
      </c>
      <c r="C51" s="26" t="str">
        <f aca="false">IF(B51="","",$C$8)</f>
        <v/>
      </c>
      <c r="D51" s="22" t="str">
        <f aca="false">IF(B51="","",SUMPRODUCT((Bills!$C$7:$C$31&lt;&gt;"")*(DATE(YEAR(B51),MONTH(B51)+(DAY(B51)&gt;Bills!$C$7:$C$31),Bills!$C$7:$C$31)&lt;F51)*Bills!$D$7:$D$31))</f>
        <v/>
      </c>
      <c r="E51" s="23" t="str">
        <f aca="false">IF(B51="","",C51-D51)</f>
        <v/>
      </c>
      <c r="F51" s="37" t="str">
        <f aca="false">IF(B51="","",CHOOSE(MATCH($C$7,{"Weekly","Every 2 weeks","Twice a month","Monthly"},0),B51+7,B51+14,IF(DAY(B51)&lt;15,DATE(YEAR(B51),MONTH(B51),15),DATE(YEAR(B51),MONTH(B51)+1,1)),EDATE(B51,1)))</f>
        <v/>
      </c>
    </row>
    <row r="52" customFormat="false" ht="15" hidden="false" customHeight="false" outlineLevel="0" collapsed="false">
      <c r="B52" s="36" t="str">
        <f aca="false">IF(F51="","",IF(F51&gt;DATE(Year,12,31),"",F51))</f>
        <v/>
      </c>
      <c r="C52" s="26" t="str">
        <f aca="false">IF(B52="","",$C$8)</f>
        <v/>
      </c>
      <c r="D52" s="22" t="str">
        <f aca="false">IF(B52="","",SUMPRODUCT((Bills!$C$7:$C$31&lt;&gt;"")*(DATE(YEAR(B52),MONTH(B52)+(DAY(B52)&gt;Bills!$C$7:$C$31),Bills!$C$7:$C$31)&lt;F52)*Bills!$D$7:$D$31))</f>
        <v/>
      </c>
      <c r="E52" s="23" t="str">
        <f aca="false">IF(B52="","",C52-D52)</f>
        <v/>
      </c>
      <c r="F52" s="37" t="str">
        <f aca="false">IF(B52="","",CHOOSE(MATCH($C$7,{"Weekly","Every 2 weeks","Twice a month","Monthly"},0),B52+7,B52+14,IF(DAY(B52)&lt;15,DATE(YEAR(B52),MONTH(B52),15),DATE(YEAR(B52),MONTH(B52)+1,1)),EDATE(B52,1)))</f>
        <v/>
      </c>
    </row>
    <row r="53" customFormat="false" ht="15" hidden="false" customHeight="false" outlineLevel="0" collapsed="false">
      <c r="B53" s="36" t="str">
        <f aca="false">IF(F52="","",IF(F52&gt;DATE(Year,12,31),"",F52))</f>
        <v/>
      </c>
      <c r="C53" s="26" t="str">
        <f aca="false">IF(B53="","",$C$8)</f>
        <v/>
      </c>
      <c r="D53" s="22" t="str">
        <f aca="false">IF(B53="","",SUMPRODUCT((Bills!$C$7:$C$31&lt;&gt;"")*(DATE(YEAR(B53),MONTH(B53)+(DAY(B53)&gt;Bills!$C$7:$C$31),Bills!$C$7:$C$31)&lt;F53)*Bills!$D$7:$D$31))</f>
        <v/>
      </c>
      <c r="E53" s="23" t="str">
        <f aca="false">IF(B53="","",C53-D53)</f>
        <v/>
      </c>
      <c r="F53" s="37" t="str">
        <f aca="false">IF(B53="","",CHOOSE(MATCH($C$7,{"Weekly","Every 2 weeks","Twice a month","Monthly"},0),B53+7,B53+14,IF(DAY(B53)&lt;15,DATE(YEAR(B53),MONTH(B53),15),DATE(YEAR(B53),MONTH(B53)+1,1)),EDATE(B53,1)))</f>
        <v/>
      </c>
    </row>
    <row r="54" customFormat="false" ht="15" hidden="false" customHeight="false" outlineLevel="0" collapsed="false">
      <c r="B54" s="36" t="str">
        <f aca="false">IF(F53="","",IF(F53&gt;DATE(Year,12,31),"",F53))</f>
        <v/>
      </c>
      <c r="C54" s="26" t="str">
        <f aca="false">IF(B54="","",$C$8)</f>
        <v/>
      </c>
      <c r="D54" s="22" t="str">
        <f aca="false">IF(B54="","",SUMPRODUCT((Bills!$C$7:$C$31&lt;&gt;"")*(DATE(YEAR(B54),MONTH(B54)+(DAY(B54)&gt;Bills!$C$7:$C$31),Bills!$C$7:$C$31)&lt;F54)*Bills!$D$7:$D$31))</f>
        <v/>
      </c>
      <c r="E54" s="23" t="str">
        <f aca="false">IF(B54="","",C54-D54)</f>
        <v/>
      </c>
      <c r="F54" s="37" t="str">
        <f aca="false">IF(B54="","",CHOOSE(MATCH($C$7,{"Weekly","Every 2 weeks","Twice a month","Monthly"},0),B54+7,B54+14,IF(DAY(B54)&lt;15,DATE(YEAR(B54),MONTH(B54),15),DATE(YEAR(B54),MONTH(B54)+1,1)),EDATE(B54,1)))</f>
        <v/>
      </c>
    </row>
    <row r="55" customFormat="false" ht="15" hidden="false" customHeight="false" outlineLevel="0" collapsed="false">
      <c r="B55" s="36" t="str">
        <f aca="false">IF(F54="","",IF(F54&gt;DATE(Year,12,31),"",F54))</f>
        <v/>
      </c>
      <c r="C55" s="26" t="str">
        <f aca="false">IF(B55="","",$C$8)</f>
        <v/>
      </c>
      <c r="D55" s="22" t="str">
        <f aca="false">IF(B55="","",SUMPRODUCT((Bills!$C$7:$C$31&lt;&gt;"")*(DATE(YEAR(B55),MONTH(B55)+(DAY(B55)&gt;Bills!$C$7:$C$31),Bills!$C$7:$C$31)&lt;F55)*Bills!$D$7:$D$31))</f>
        <v/>
      </c>
      <c r="E55" s="23" t="str">
        <f aca="false">IF(B55="","",C55-D55)</f>
        <v/>
      </c>
      <c r="F55" s="37" t="str">
        <f aca="false">IF(B55="","",CHOOSE(MATCH($C$7,{"Weekly","Every 2 weeks","Twice a month","Monthly"},0),B55+7,B55+14,IF(DAY(B55)&lt;15,DATE(YEAR(B55),MONTH(B55),15),DATE(YEAR(B55),MONTH(B55)+1,1)),EDATE(B55,1)))</f>
        <v/>
      </c>
    </row>
    <row r="56" customFormat="false" ht="15" hidden="false" customHeight="false" outlineLevel="0" collapsed="false">
      <c r="B56" s="36" t="str">
        <f aca="false">IF(F55="","",IF(F55&gt;DATE(Year,12,31),"",F55))</f>
        <v/>
      </c>
      <c r="C56" s="26" t="str">
        <f aca="false">IF(B56="","",$C$8)</f>
        <v/>
      </c>
      <c r="D56" s="22" t="str">
        <f aca="false">IF(B56="","",SUMPRODUCT((Bills!$C$7:$C$31&lt;&gt;"")*(DATE(YEAR(B56),MONTH(B56)+(DAY(B56)&gt;Bills!$C$7:$C$31),Bills!$C$7:$C$31)&lt;F56)*Bills!$D$7:$D$31))</f>
        <v/>
      </c>
      <c r="E56" s="23" t="str">
        <f aca="false">IF(B56="","",C56-D56)</f>
        <v/>
      </c>
      <c r="F56" s="37" t="str">
        <f aca="false">IF(B56="","",CHOOSE(MATCH($C$7,{"Weekly","Every 2 weeks","Twice a month","Monthly"},0),B56+7,B56+14,IF(DAY(B56)&lt;15,DATE(YEAR(B56),MONTH(B56),15),DATE(YEAR(B56),MONTH(B56)+1,1)),EDATE(B56,1)))</f>
        <v/>
      </c>
    </row>
    <row r="57" customFormat="false" ht="15" hidden="false" customHeight="false" outlineLevel="0" collapsed="false">
      <c r="B57" s="36" t="str">
        <f aca="false">IF(F56="","",IF(F56&gt;DATE(Year,12,31),"",F56))</f>
        <v/>
      </c>
      <c r="C57" s="26" t="str">
        <f aca="false">IF(B57="","",$C$8)</f>
        <v/>
      </c>
      <c r="D57" s="22" t="str">
        <f aca="false">IF(B57="","",SUMPRODUCT((Bills!$C$7:$C$31&lt;&gt;"")*(DATE(YEAR(B57),MONTH(B57)+(DAY(B57)&gt;Bills!$C$7:$C$31),Bills!$C$7:$C$31)&lt;F57)*Bills!$D$7:$D$31))</f>
        <v/>
      </c>
      <c r="E57" s="23" t="str">
        <f aca="false">IF(B57="","",C57-D57)</f>
        <v/>
      </c>
      <c r="F57" s="37" t="str">
        <f aca="false">IF(B57="","",CHOOSE(MATCH($C$7,{"Weekly","Every 2 weeks","Twice a month","Monthly"},0),B57+7,B57+14,IF(DAY(B57)&lt;15,DATE(YEAR(B57),MONTH(B57),15),DATE(YEAR(B57),MONTH(B57)+1,1)),EDATE(B57,1)))</f>
        <v/>
      </c>
    </row>
    <row r="58" customFormat="false" ht="15" hidden="false" customHeight="false" outlineLevel="0" collapsed="false">
      <c r="B58" s="36" t="str">
        <f aca="false">IF(F57="","",IF(F57&gt;DATE(Year,12,31),"",F57))</f>
        <v/>
      </c>
      <c r="C58" s="26" t="str">
        <f aca="false">IF(B58="","",$C$8)</f>
        <v/>
      </c>
      <c r="D58" s="22" t="str">
        <f aca="false">IF(B58="","",SUMPRODUCT((Bills!$C$7:$C$31&lt;&gt;"")*(DATE(YEAR(B58),MONTH(B58)+(DAY(B58)&gt;Bills!$C$7:$C$31),Bills!$C$7:$C$31)&lt;F58)*Bills!$D$7:$D$31))</f>
        <v/>
      </c>
      <c r="E58" s="23" t="str">
        <f aca="false">IF(B58="","",C58-D58)</f>
        <v/>
      </c>
      <c r="F58" s="37" t="str">
        <f aca="false">IF(B58="","",CHOOSE(MATCH($C$7,{"Weekly","Every 2 weeks","Twice a month","Monthly"},0),B58+7,B58+14,IF(DAY(B58)&lt;15,DATE(YEAR(B58),MONTH(B58),15),DATE(YEAR(B58),MONTH(B58)+1,1)),EDATE(B58,1)))</f>
        <v/>
      </c>
    </row>
    <row r="59" customFormat="false" ht="15" hidden="false" customHeight="false" outlineLevel="0" collapsed="false">
      <c r="B59" s="36" t="str">
        <f aca="false">IF(F58="","",IF(F58&gt;DATE(Year,12,31),"",F58))</f>
        <v/>
      </c>
      <c r="C59" s="26" t="str">
        <f aca="false">IF(B59="","",$C$8)</f>
        <v/>
      </c>
      <c r="D59" s="22" t="str">
        <f aca="false">IF(B59="","",SUMPRODUCT((Bills!$C$7:$C$31&lt;&gt;"")*(DATE(YEAR(B59),MONTH(B59)+(DAY(B59)&gt;Bills!$C$7:$C$31),Bills!$C$7:$C$31)&lt;F59)*Bills!$D$7:$D$31))</f>
        <v/>
      </c>
      <c r="E59" s="23" t="str">
        <f aca="false">IF(B59="","",C59-D59)</f>
        <v/>
      </c>
      <c r="F59" s="37" t="str">
        <f aca="false">IF(B59="","",CHOOSE(MATCH($C$7,{"Weekly","Every 2 weeks","Twice a month","Monthly"},0),B59+7,B59+14,IF(DAY(B59)&lt;15,DATE(YEAR(B59),MONTH(B59),15),DATE(YEAR(B59),MONTH(B59)+1,1)),EDATE(B59,1)))</f>
        <v/>
      </c>
    </row>
    <row r="60" customFormat="false" ht="15" hidden="false" customHeight="false" outlineLevel="0" collapsed="false">
      <c r="B60" s="36" t="str">
        <f aca="false">IF(F59="","",IF(F59&gt;DATE(Year,12,31),"",F59))</f>
        <v/>
      </c>
      <c r="C60" s="26" t="str">
        <f aca="false">IF(B60="","",$C$8)</f>
        <v/>
      </c>
      <c r="D60" s="22" t="str">
        <f aca="false">IF(B60="","",SUMPRODUCT((Bills!$C$7:$C$31&lt;&gt;"")*(DATE(YEAR(B60),MONTH(B60)+(DAY(B60)&gt;Bills!$C$7:$C$31),Bills!$C$7:$C$31)&lt;F60)*Bills!$D$7:$D$31))</f>
        <v/>
      </c>
      <c r="E60" s="23" t="str">
        <f aca="false">IF(B60="","",C60-D60)</f>
        <v/>
      </c>
      <c r="F60" s="37" t="str">
        <f aca="false">IF(B60="","",CHOOSE(MATCH($C$7,{"Weekly","Every 2 weeks","Twice a month","Monthly"},0),B60+7,B60+14,IF(DAY(B60)&lt;15,DATE(YEAR(B60),MONTH(B60),15),DATE(YEAR(B60),MONTH(B60)+1,1)),EDATE(B60,1)))</f>
        <v/>
      </c>
    </row>
    <row r="61" customFormat="false" ht="15" hidden="false" customHeight="false" outlineLevel="0" collapsed="false">
      <c r="B61" s="36" t="str">
        <f aca="false">IF(F60="","",IF(F60&gt;DATE(Year,12,31),"",F60))</f>
        <v/>
      </c>
      <c r="C61" s="26" t="str">
        <f aca="false">IF(B61="","",$C$8)</f>
        <v/>
      </c>
      <c r="D61" s="22" t="str">
        <f aca="false">IF(B61="","",SUMPRODUCT((Bills!$C$7:$C$31&lt;&gt;"")*(DATE(YEAR(B61),MONTH(B61)+(DAY(B61)&gt;Bills!$C$7:$C$31),Bills!$C$7:$C$31)&lt;F61)*Bills!$D$7:$D$31))</f>
        <v/>
      </c>
      <c r="E61" s="23" t="str">
        <f aca="false">IF(B61="","",C61-D61)</f>
        <v/>
      </c>
      <c r="F61" s="37" t="str">
        <f aca="false">IF(B61="","",CHOOSE(MATCH($C$7,{"Weekly","Every 2 weeks","Twice a month","Monthly"},0),B61+7,B61+14,IF(DAY(B61)&lt;15,DATE(YEAR(B61),MONTH(B61),15),DATE(YEAR(B61),MONTH(B61)+1,1)),EDATE(B61,1)))</f>
        <v/>
      </c>
    </row>
    <row r="62" customFormat="false" ht="15" hidden="false" customHeight="false" outlineLevel="0" collapsed="false">
      <c r="B62" s="36" t="str">
        <f aca="false">IF(F61="","",IF(F61&gt;DATE(Year,12,31),"",F61))</f>
        <v/>
      </c>
      <c r="C62" s="26" t="str">
        <f aca="false">IF(B62="","",$C$8)</f>
        <v/>
      </c>
      <c r="D62" s="22" t="str">
        <f aca="false">IF(B62="","",SUMPRODUCT((Bills!$C$7:$C$31&lt;&gt;"")*(DATE(YEAR(B62),MONTH(B62)+(DAY(B62)&gt;Bills!$C$7:$C$31),Bills!$C$7:$C$31)&lt;F62)*Bills!$D$7:$D$31))</f>
        <v/>
      </c>
      <c r="E62" s="23" t="str">
        <f aca="false">IF(B62="","",C62-D62)</f>
        <v/>
      </c>
      <c r="F62" s="37" t="str">
        <f aca="false">IF(B62="","",CHOOSE(MATCH($C$7,{"Weekly","Every 2 weeks","Twice a month","Monthly"},0),B62+7,B62+14,IF(DAY(B62)&lt;15,DATE(YEAR(B62),MONTH(B62),15),DATE(YEAR(B62),MONTH(B62)+1,1)),EDATE(B62,1)))</f>
        <v/>
      </c>
    </row>
    <row r="63" customFormat="false" ht="15" hidden="false" customHeight="false" outlineLevel="0" collapsed="false">
      <c r="B63" s="36" t="str">
        <f aca="false">IF(F62="","",IF(F62&gt;DATE(Year,12,31),"",F62))</f>
        <v/>
      </c>
      <c r="C63" s="26" t="str">
        <f aca="false">IF(B63="","",$C$8)</f>
        <v/>
      </c>
      <c r="D63" s="22" t="str">
        <f aca="false">IF(B63="","",SUMPRODUCT((Bills!$C$7:$C$31&lt;&gt;"")*(DATE(YEAR(B63),MONTH(B63)+(DAY(B63)&gt;Bills!$C$7:$C$31),Bills!$C$7:$C$31)&lt;F63)*Bills!$D$7:$D$31))</f>
        <v/>
      </c>
      <c r="E63" s="23" t="str">
        <f aca="false">IF(B63="","",C63-D63)</f>
        <v/>
      </c>
      <c r="F63" s="37" t="str">
        <f aca="false">IF(B63="","",CHOOSE(MATCH($C$7,{"Weekly","Every 2 weeks","Twice a month","Monthly"},0),B63+7,B63+14,IF(DAY(B63)&lt;15,DATE(YEAR(B63),MONTH(B63),15),DATE(YEAR(B63),MONTH(B63)+1,1)),EDATE(B63,1)))</f>
        <v/>
      </c>
    </row>
    <row r="64" customFormat="false" ht="15" hidden="false" customHeight="false" outlineLevel="0" collapsed="false">
      <c r="B64" s="36" t="str">
        <f aca="false">IF(F63="","",IF(F63&gt;DATE(Year,12,31),"",F63))</f>
        <v/>
      </c>
      <c r="C64" s="26" t="str">
        <f aca="false">IF(B64="","",$C$8)</f>
        <v/>
      </c>
      <c r="D64" s="22" t="str">
        <f aca="false">IF(B64="","",SUMPRODUCT((Bills!$C$7:$C$31&lt;&gt;"")*(DATE(YEAR(B64),MONTH(B64)+(DAY(B64)&gt;Bills!$C$7:$C$31),Bills!$C$7:$C$31)&lt;F64)*Bills!$D$7:$D$31))</f>
        <v/>
      </c>
      <c r="E64" s="23" t="str">
        <f aca="false">IF(B64="","",C64-D64)</f>
        <v/>
      </c>
      <c r="F64" s="37" t="str">
        <f aca="false">IF(B64="","",CHOOSE(MATCH($C$7,{"Weekly","Every 2 weeks","Twice a month","Monthly"},0),B64+7,B64+14,IF(DAY(B64)&lt;15,DATE(YEAR(B64),MONTH(B64),15),DATE(YEAR(B64),MONTH(B64)+1,1)),EDATE(B64,1)))</f>
        <v/>
      </c>
    </row>
  </sheetData>
  <sheetProtection sheet="true" formatColumns="false" formatRows="false" insertRows="false" sort="false" autoFilter="false"/>
  <conditionalFormatting sqref="E11:E64">
    <cfRule type="cellIs" priority="2" operator="lessThan" aboveAverage="0" equalAverage="0" bottom="0" percent="0" rank="0" text="" dxfId="1">
      <formula>0</formula>
    </cfRule>
  </conditionalFormatting>
  <dataValidations count="1">
    <dataValidation allowBlank="false" errorStyle="stop" operator="between" showDropDown="false" showErrorMessage="false" showInputMessage="false" sqref="C7" type="list">
      <formula1>"Weekly,Every 2 weeks,Twice a month,Monthly"</formula1>
      <formula2>0</formula2>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4"/>
    <col collapsed="false" customWidth="true" hidden="false" outlineLevel="0" max="5" min="4" style="0" width="12"/>
    <col collapsed="false" customWidth="true" hidden="false" outlineLevel="0" max="6" min="6" style="0" width="11"/>
    <col collapsed="false" customWidth="true" hidden="false" outlineLevel="0" max="7" min="7" style="0" width="16"/>
    <col collapsed="false" customWidth="true" hidden="false" outlineLevel="0" max="8" min="8" style="0" width="18"/>
    <col collapsed="false" customWidth="true" hidden="false" outlineLevel="0" max="10" min="9" style="0" width="16"/>
    <col collapsed="false" customWidth="true" hidden="false" outlineLevel="0" max="29" min="11" style="0" width="14"/>
  </cols>
  <sheetData>
    <row r="2" customFormat="false" ht="33.75" hidden="false" customHeight="true" outlineLevel="0" collapsed="false">
      <c r="B2" s="1" t="s">
        <v>148</v>
      </c>
    </row>
    <row r="3" customFormat="false" ht="15" hidden="false" customHeight="false" outlineLevel="0" collapsed="false">
      <c r="B3" s="2" t="s">
        <v>149</v>
      </c>
    </row>
    <row r="4" customFormat="false" ht="15" hidden="false" customHeight="false" outlineLevel="0" collapsed="false">
      <c r="B4" s="3" t="s">
        <v>2</v>
      </c>
      <c r="C4" s="3" t="s">
        <v>3</v>
      </c>
      <c r="D4" s="3" t="s">
        <v>4</v>
      </c>
      <c r="E4" s="3" t="s">
        <v>5</v>
      </c>
      <c r="F4" s="3" t="s">
        <v>6</v>
      </c>
      <c r="G4" s="3" t="s">
        <v>7</v>
      </c>
      <c r="H4" s="3" t="s">
        <v>8</v>
      </c>
      <c r="I4" s="3" t="s">
        <v>9</v>
      </c>
    </row>
    <row r="6" customFormat="false" ht="15" hidden="false" customHeight="false" outlineLevel="0" collapsed="false">
      <c r="B6" s="19" t="s">
        <v>150</v>
      </c>
      <c r="C6" s="17" t="s">
        <v>151</v>
      </c>
    </row>
    <row r="7" customFormat="false" ht="15" hidden="false" customHeight="false" outlineLevel="0" collapsed="false">
      <c r="B7" s="19" t="s">
        <v>152</v>
      </c>
      <c r="C7" s="26" t="n">
        <v>100</v>
      </c>
      <c r="D7" s="28" t="s">
        <v>153</v>
      </c>
    </row>
    <row r="9" customFormat="false" ht="33.75" hidden="false" customHeight="true" outlineLevel="0" collapsed="false">
      <c r="B9" s="10" t="s">
        <v>8</v>
      </c>
      <c r="C9" s="10" t="s">
        <v>154</v>
      </c>
      <c r="D9" s="10" t="s">
        <v>155</v>
      </c>
      <c r="E9" s="10" t="s">
        <v>156</v>
      </c>
      <c r="F9" s="10" t="s">
        <v>157</v>
      </c>
      <c r="G9" s="10" t="s">
        <v>158</v>
      </c>
      <c r="H9" s="10" t="s">
        <v>159</v>
      </c>
      <c r="I9" s="10" t="s">
        <v>160</v>
      </c>
      <c r="J9" s="10" t="s">
        <v>161</v>
      </c>
    </row>
    <row r="10" customFormat="false" ht="15" hidden="false" customHeight="false" outlineLevel="0" collapsed="false">
      <c r="B10" s="17" t="s">
        <v>95</v>
      </c>
      <c r="C10" s="26" t="n">
        <v>2400</v>
      </c>
      <c r="D10" s="38" t="n">
        <v>0.2299</v>
      </c>
      <c r="E10" s="26" t="n">
        <v>75</v>
      </c>
      <c r="F10" s="39" t="n">
        <f aca="false">IF(C10="","",IF($C$6="Snowball",COUNTIFS($C$10:$C$19,"&lt;"&amp;C10,$C$10:$C$19,"&lt;&gt;")+1,COUNTIFS($D$10:$D$19,"&gt;"&amp;D10,$C$10:$C$19,"&lt;&gt;")+1))</f>
        <v>1</v>
      </c>
      <c r="G10" s="39" t="n">
        <f aca="false">IF(OR(C10="",E10=""),"",IFERROR(ROUNDUP(NPER(D10/12,-E10,C10),0),"never: raise the minimum"))</f>
        <v>51</v>
      </c>
      <c r="H10" s="22" t="n">
        <f aca="false">IF(OR(C10="",E10="",NOT(ISNUMBER(G10))),"",G10*E10-C10)</f>
        <v>1425</v>
      </c>
      <c r="I10" s="39" t="n">
        <f aca="false">IF(OR(C10="",E10="",F10&lt;&gt;1),"",IFERROR(ROUNDUP(NPER(D10/12,-(E10+$C$7),C10),0),""))</f>
        <v>17</v>
      </c>
      <c r="J10" s="22" t="n">
        <f aca="false">IF(OR(I10="",NOT(ISNUMBER(H10))),"",MAX(0,H10-(I10*(E10+$C$7)-C10)))</f>
        <v>850</v>
      </c>
    </row>
    <row r="11" customFormat="false" ht="15" hidden="false" customHeight="false" outlineLevel="0" collapsed="false">
      <c r="B11" s="17" t="s">
        <v>162</v>
      </c>
      <c r="C11" s="26" t="n">
        <v>8200</v>
      </c>
      <c r="D11" s="38" t="n">
        <v>0.069</v>
      </c>
      <c r="E11" s="26" t="n">
        <v>210</v>
      </c>
      <c r="F11" s="39" t="n">
        <f aca="false">IF(C11="","",IF($C$6="Snowball",COUNTIFS($C$10:$C$19,"&lt;"&amp;C11,$C$10:$C$19,"&lt;&gt;")+1,COUNTIFS($D$10:$D$19,"&gt;"&amp;D11,$C$10:$C$19,"&lt;&gt;")+1))</f>
        <v>2</v>
      </c>
      <c r="G11" s="39" t="n">
        <f aca="false">IF(OR(C11="",E11=""),"",IFERROR(ROUNDUP(NPER(D11/12,-E11,C11),0),"never: raise the minimum"))</f>
        <v>45</v>
      </c>
      <c r="H11" s="22" t="n">
        <f aca="false">IF(OR(C11="",E11="",NOT(ISNUMBER(G11))),"",G11*E11-C11)</f>
        <v>1250</v>
      </c>
      <c r="I11" s="39" t="str">
        <f aca="false">IF(OR(C11="",E11="",F11&lt;&gt;1),"",IFERROR(ROUNDUP(NPER(D11/12,-(E11+$C$7),C11),0),""))</f>
        <v/>
      </c>
      <c r="J11" s="22" t="str">
        <f aca="false">IF(OR(I11="",NOT(ISNUMBER(H11))),"",MAX(0,H11-(I11*(E11+$C$7)-C11)))</f>
        <v/>
      </c>
    </row>
    <row r="12" customFormat="false" ht="15" hidden="false" customHeight="false" outlineLevel="0" collapsed="false">
      <c r="B12" s="17" t="s">
        <v>96</v>
      </c>
      <c r="C12" s="26" t="n">
        <v>14500</v>
      </c>
      <c r="D12" s="38" t="n">
        <v>0.055</v>
      </c>
      <c r="E12" s="26" t="n">
        <v>180</v>
      </c>
      <c r="F12" s="39" t="n">
        <f aca="false">IF(C12="","",IF($C$6="Snowball",COUNTIFS($C$10:$C$19,"&lt;"&amp;C12,$C$10:$C$19,"&lt;&gt;")+1,COUNTIFS($D$10:$D$19,"&gt;"&amp;D12,$C$10:$C$19,"&lt;&gt;")+1))</f>
        <v>3</v>
      </c>
      <c r="G12" s="39" t="n">
        <f aca="false">IF(OR(C12="",E12=""),"",IFERROR(ROUNDUP(NPER(D12/12,-E12,C12),0),"never: raise the minimum"))</f>
        <v>101</v>
      </c>
      <c r="H12" s="22" t="n">
        <f aca="false">IF(OR(C12="",E12="",NOT(ISNUMBER(G12))),"",G12*E12-C12)</f>
        <v>3680</v>
      </c>
      <c r="I12" s="39" t="str">
        <f aca="false">IF(OR(C12="",E12="",F12&lt;&gt;1),"",IFERROR(ROUNDUP(NPER(D12/12,-(E12+$C$7),C12),0),""))</f>
        <v/>
      </c>
      <c r="J12" s="22" t="str">
        <f aca="false">IF(OR(I12="",NOT(ISNUMBER(H12))),"",MAX(0,H12-(I12*(E12+$C$7)-C12)))</f>
        <v/>
      </c>
    </row>
    <row r="13" customFormat="false" ht="15" hidden="false" customHeight="false" outlineLevel="0" collapsed="false">
      <c r="B13" s="17"/>
      <c r="C13" s="26"/>
      <c r="D13" s="38"/>
      <c r="E13" s="26"/>
      <c r="F13" s="39" t="str">
        <f aca="false">IF(C13="","",IF($C$6="Snowball",COUNTIFS($C$10:$C$19,"&lt;"&amp;C13,$C$10:$C$19,"&lt;&gt;")+1,COUNTIFS($D$10:$D$19,"&gt;"&amp;D13,$C$10:$C$19,"&lt;&gt;")+1))</f>
        <v/>
      </c>
      <c r="G13" s="39" t="str">
        <f aca="false">IF(OR(C13="",E13=""),"",IFERROR(ROUNDUP(NPER(D13/12,-E13,C13),0),"never: raise the minimum"))</f>
        <v/>
      </c>
      <c r="H13" s="22" t="str">
        <f aca="false">IF(OR(C13="",E13="",NOT(ISNUMBER(G13))),"",G13*E13-C13)</f>
        <v/>
      </c>
      <c r="I13" s="39" t="str">
        <f aca="false">IF(OR(C13="",E13="",F13&lt;&gt;1),"",IFERROR(ROUNDUP(NPER(D13/12,-(E13+$C$7),C13),0),""))</f>
        <v/>
      </c>
      <c r="J13" s="22" t="str">
        <f aca="false">IF(OR(I13="",NOT(ISNUMBER(H13))),"",MAX(0,H13-(I13*(E13+$C$7)-C13)))</f>
        <v/>
      </c>
    </row>
    <row r="14" customFormat="false" ht="15" hidden="false" customHeight="false" outlineLevel="0" collapsed="false">
      <c r="B14" s="17"/>
      <c r="C14" s="26"/>
      <c r="D14" s="38"/>
      <c r="E14" s="26"/>
      <c r="F14" s="39" t="str">
        <f aca="false">IF(C14="","",IF($C$6="Snowball",COUNTIFS($C$10:$C$19,"&lt;"&amp;C14,$C$10:$C$19,"&lt;&gt;")+1,COUNTIFS($D$10:$D$19,"&gt;"&amp;D14,$C$10:$C$19,"&lt;&gt;")+1))</f>
        <v/>
      </c>
      <c r="G14" s="39" t="str">
        <f aca="false">IF(OR(C14="",E14=""),"",IFERROR(ROUNDUP(NPER(D14/12,-E14,C14),0),"never: raise the minimum"))</f>
        <v/>
      </c>
      <c r="H14" s="22" t="str">
        <f aca="false">IF(OR(C14="",E14="",NOT(ISNUMBER(G14))),"",G14*E14-C14)</f>
        <v/>
      </c>
      <c r="I14" s="39" t="str">
        <f aca="false">IF(OR(C14="",E14="",F14&lt;&gt;1),"",IFERROR(ROUNDUP(NPER(D14/12,-(E14+$C$7),C14),0),""))</f>
        <v/>
      </c>
      <c r="J14" s="22" t="str">
        <f aca="false">IF(OR(I14="",NOT(ISNUMBER(H14))),"",MAX(0,H14-(I14*(E14+$C$7)-C14)))</f>
        <v/>
      </c>
    </row>
    <row r="15" customFormat="false" ht="15" hidden="false" customHeight="false" outlineLevel="0" collapsed="false">
      <c r="B15" s="17"/>
      <c r="C15" s="26"/>
      <c r="D15" s="38"/>
      <c r="E15" s="26"/>
      <c r="F15" s="39" t="str">
        <f aca="false">IF(C15="","",IF($C$6="Snowball",COUNTIFS($C$10:$C$19,"&lt;"&amp;C15,$C$10:$C$19,"&lt;&gt;")+1,COUNTIFS($D$10:$D$19,"&gt;"&amp;D15,$C$10:$C$19,"&lt;&gt;")+1))</f>
        <v/>
      </c>
      <c r="G15" s="39" t="str">
        <f aca="false">IF(OR(C15="",E15=""),"",IFERROR(ROUNDUP(NPER(D15/12,-E15,C15),0),"never: raise the minimum"))</f>
        <v/>
      </c>
      <c r="H15" s="22" t="str">
        <f aca="false">IF(OR(C15="",E15="",NOT(ISNUMBER(G15))),"",G15*E15-C15)</f>
        <v/>
      </c>
      <c r="I15" s="39" t="str">
        <f aca="false">IF(OR(C15="",E15="",F15&lt;&gt;1),"",IFERROR(ROUNDUP(NPER(D15/12,-(E15+$C$7),C15),0),""))</f>
        <v/>
      </c>
      <c r="J15" s="22" t="str">
        <f aca="false">IF(OR(I15="",NOT(ISNUMBER(H15))),"",MAX(0,H15-(I15*(E15+$C$7)-C15)))</f>
        <v/>
      </c>
    </row>
    <row r="16" customFormat="false" ht="15" hidden="false" customHeight="false" outlineLevel="0" collapsed="false">
      <c r="B16" s="17"/>
      <c r="C16" s="26"/>
      <c r="D16" s="38"/>
      <c r="E16" s="26"/>
      <c r="F16" s="39" t="str">
        <f aca="false">IF(C16="","",IF($C$6="Snowball",COUNTIFS($C$10:$C$19,"&lt;"&amp;C16,$C$10:$C$19,"&lt;&gt;")+1,COUNTIFS($D$10:$D$19,"&gt;"&amp;D16,$C$10:$C$19,"&lt;&gt;")+1))</f>
        <v/>
      </c>
      <c r="G16" s="39" t="str">
        <f aca="false">IF(OR(C16="",E16=""),"",IFERROR(ROUNDUP(NPER(D16/12,-E16,C16),0),"never: raise the minimum"))</f>
        <v/>
      </c>
      <c r="H16" s="22" t="str">
        <f aca="false">IF(OR(C16="",E16="",NOT(ISNUMBER(G16))),"",G16*E16-C16)</f>
        <v/>
      </c>
      <c r="I16" s="39" t="str">
        <f aca="false">IF(OR(C16="",E16="",F16&lt;&gt;1),"",IFERROR(ROUNDUP(NPER(D16/12,-(E16+$C$7),C16),0),""))</f>
        <v/>
      </c>
      <c r="J16" s="22" t="str">
        <f aca="false">IF(OR(I16="",NOT(ISNUMBER(H16))),"",MAX(0,H16-(I16*(E16+$C$7)-C16)))</f>
        <v/>
      </c>
    </row>
    <row r="17" customFormat="false" ht="15" hidden="false" customHeight="false" outlineLevel="0" collapsed="false">
      <c r="B17" s="17"/>
      <c r="C17" s="26"/>
      <c r="D17" s="38"/>
      <c r="E17" s="26"/>
      <c r="F17" s="39" t="str">
        <f aca="false">IF(C17="","",IF($C$6="Snowball",COUNTIFS($C$10:$C$19,"&lt;"&amp;C17,$C$10:$C$19,"&lt;&gt;")+1,COUNTIFS($D$10:$D$19,"&gt;"&amp;D17,$C$10:$C$19,"&lt;&gt;")+1))</f>
        <v/>
      </c>
      <c r="G17" s="39" t="str">
        <f aca="false">IF(OR(C17="",E17=""),"",IFERROR(ROUNDUP(NPER(D17/12,-E17,C17),0),"never: raise the minimum"))</f>
        <v/>
      </c>
      <c r="H17" s="22" t="str">
        <f aca="false">IF(OR(C17="",E17="",NOT(ISNUMBER(G17))),"",G17*E17-C17)</f>
        <v/>
      </c>
      <c r="I17" s="39" t="str">
        <f aca="false">IF(OR(C17="",E17="",F17&lt;&gt;1),"",IFERROR(ROUNDUP(NPER(D17/12,-(E17+$C$7),C17),0),""))</f>
        <v/>
      </c>
      <c r="J17" s="22" t="str">
        <f aca="false">IF(OR(I17="",NOT(ISNUMBER(H17))),"",MAX(0,H17-(I17*(E17+$C$7)-C17)))</f>
        <v/>
      </c>
    </row>
    <row r="18" customFormat="false" ht="15" hidden="false" customHeight="false" outlineLevel="0" collapsed="false">
      <c r="B18" s="17"/>
      <c r="C18" s="26"/>
      <c r="D18" s="38"/>
      <c r="E18" s="26"/>
      <c r="F18" s="39" t="str">
        <f aca="false">IF(C18="","",IF($C$6="Snowball",COUNTIFS($C$10:$C$19,"&lt;"&amp;C18,$C$10:$C$19,"&lt;&gt;")+1,COUNTIFS($D$10:$D$19,"&gt;"&amp;D18,$C$10:$C$19,"&lt;&gt;")+1))</f>
        <v/>
      </c>
      <c r="G18" s="39" t="str">
        <f aca="false">IF(OR(C18="",E18=""),"",IFERROR(ROUNDUP(NPER(D18/12,-E18,C18),0),"never: raise the minimum"))</f>
        <v/>
      </c>
      <c r="H18" s="22" t="str">
        <f aca="false">IF(OR(C18="",E18="",NOT(ISNUMBER(G18))),"",G18*E18-C18)</f>
        <v/>
      </c>
      <c r="I18" s="39" t="str">
        <f aca="false">IF(OR(C18="",E18="",F18&lt;&gt;1),"",IFERROR(ROUNDUP(NPER(D18/12,-(E18+$C$7),C18),0),""))</f>
        <v/>
      </c>
      <c r="J18" s="22" t="str">
        <f aca="false">IF(OR(I18="",NOT(ISNUMBER(H18))),"",MAX(0,H18-(I18*(E18+$C$7)-C18)))</f>
        <v/>
      </c>
    </row>
    <row r="19" customFormat="false" ht="15" hidden="false" customHeight="false" outlineLevel="0" collapsed="false">
      <c r="B19" s="17"/>
      <c r="C19" s="26"/>
      <c r="D19" s="38"/>
      <c r="E19" s="26"/>
      <c r="F19" s="39" t="str">
        <f aca="false">IF(C19="","",IF($C$6="Snowball",COUNTIFS($C$10:$C$19,"&lt;"&amp;C19,$C$10:$C$19,"&lt;&gt;")+1,COUNTIFS($D$10:$D$19,"&gt;"&amp;D19,$C$10:$C$19,"&lt;&gt;")+1))</f>
        <v/>
      </c>
      <c r="G19" s="39" t="str">
        <f aca="false">IF(OR(C19="",E19=""),"",IFERROR(ROUNDUP(NPER(D19/12,-E19,C19),0),"never: raise the minimum"))</f>
        <v/>
      </c>
      <c r="H19" s="22" t="str">
        <f aca="false">IF(OR(C19="",E19="",NOT(ISNUMBER(G19))),"",G19*E19-C19)</f>
        <v/>
      </c>
      <c r="I19" s="39" t="str">
        <f aca="false">IF(OR(C19="",E19="",F19&lt;&gt;1),"",IFERROR(ROUNDUP(NPER(D19/12,-(E19+$C$7),C19),0),""))</f>
        <v/>
      </c>
      <c r="J19" s="22" t="str">
        <f aca="false">IF(OR(I19="",NOT(ISNUMBER(H19))),"",MAX(0,H19-(I19*(E19+$C$7)-C19)))</f>
        <v/>
      </c>
    </row>
    <row r="20" customFormat="false" ht="15" hidden="false" customHeight="false" outlineLevel="0" collapsed="false">
      <c r="B20" s="19" t="s">
        <v>163</v>
      </c>
      <c r="C20" s="23" t="n">
        <f aca="false">SUM(C10:C19)</f>
        <v>25100</v>
      </c>
      <c r="E20" s="23" t="n">
        <f aca="false">SUM(E10:E19)</f>
        <v>465</v>
      </c>
    </row>
  </sheetData>
  <sheetProtection sheet="true" formatColumns="false" formatRows="false" insertRows="false" sort="false" autoFilter="false"/>
  <dataValidations count="1">
    <dataValidation allowBlank="false" errorStyle="stop" operator="between" showDropDown="false" showErrorMessage="false" showInputMessage="false" sqref="C6" type="list">
      <formula1>"Snowball,Avalanche"</formula1>
      <formula2>0</formula2>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4" min="3" style="0" width="14"/>
    <col collapsed="false" customWidth="true" hidden="false" outlineLevel="0" max="5" min="5" style="0" width="10"/>
    <col collapsed="false" customWidth="true" hidden="false" outlineLevel="0" max="6" min="6" style="0" width="14"/>
    <col collapsed="false" customWidth="true" hidden="false" outlineLevel="0" max="7" min="7" style="0" width="16"/>
    <col collapsed="false" customWidth="true" hidden="false" outlineLevel="0" max="29" min="8" style="0" width="14"/>
  </cols>
  <sheetData>
    <row r="2" customFormat="false" ht="33.75" hidden="false" customHeight="true" outlineLevel="0" collapsed="false">
      <c r="B2" s="1" t="s">
        <v>164</v>
      </c>
    </row>
    <row r="3" customFormat="false" ht="15" hidden="false" customHeight="false" outlineLevel="0" collapsed="false">
      <c r="B3" s="2" t="s">
        <v>165</v>
      </c>
    </row>
    <row r="4" customFormat="false" ht="15" hidden="false" customHeight="false" outlineLevel="0" collapsed="false">
      <c r="B4" s="3" t="s">
        <v>2</v>
      </c>
      <c r="C4" s="3" t="s">
        <v>3</v>
      </c>
      <c r="D4" s="3" t="s">
        <v>4</v>
      </c>
      <c r="E4" s="3" t="s">
        <v>5</v>
      </c>
      <c r="F4" s="3" t="s">
        <v>6</v>
      </c>
      <c r="G4" s="3" t="s">
        <v>7</v>
      </c>
      <c r="H4" s="3" t="s">
        <v>8</v>
      </c>
      <c r="I4" s="3" t="s">
        <v>9</v>
      </c>
    </row>
    <row r="6" customFormat="false" ht="21.75" hidden="false" customHeight="true" outlineLevel="0" collapsed="false">
      <c r="B6" s="10" t="s">
        <v>166</v>
      </c>
      <c r="C6" s="10" t="s">
        <v>167</v>
      </c>
      <c r="D6" s="10" t="s">
        <v>168</v>
      </c>
      <c r="E6" s="10" t="s">
        <v>169</v>
      </c>
      <c r="F6" s="10" t="s">
        <v>170</v>
      </c>
      <c r="G6" s="10" t="s">
        <v>171</v>
      </c>
      <c r="H6" s="10"/>
    </row>
    <row r="7" customFormat="false" ht="15" hidden="false" customHeight="false" outlineLevel="0" collapsed="false">
      <c r="B7" s="17" t="s">
        <v>92</v>
      </c>
      <c r="C7" s="26" t="n">
        <v>5000</v>
      </c>
      <c r="D7" s="26" t="n">
        <v>1200</v>
      </c>
      <c r="E7" s="32" t="n">
        <f aca="false">IF(OR(C7="",C7=0),"",MIN(1,D7/C7))</f>
        <v>0.24</v>
      </c>
      <c r="F7" s="40" t="n">
        <v>46722</v>
      </c>
      <c r="G7" s="22" t="n">
        <f aca="true">IF(OR(C7="",F7=""),"",IF(D7&gt;=C7,"Reached",IF(((YEAR(F7)-YEAR(TODAY()))*12+MONTH(F7)-MONTH(TODAY()))&lt;1,"Date passed: pick a new one",(C7-D7)/((YEAR(F7)-YEAR(TODAY()))*12+MONTH(F7)-MONTH(TODAY())))))</f>
        <v>271.428571428571</v>
      </c>
      <c r="H7" s="33" t="str">
        <f aca="false">IF(E7="","",REPT("█",ROUND(MIN(1,MAX(0,E7))*10,0))&amp;REPT("░",10-ROUND(MIN(1,MAX(0,E7))*10,0)))</f>
        <v>██░░░░░░░░</v>
      </c>
    </row>
    <row r="8" customFormat="false" ht="15" hidden="false" customHeight="false" outlineLevel="0" collapsed="false">
      <c r="B8" s="17" t="s">
        <v>172</v>
      </c>
      <c r="C8" s="26" t="n">
        <v>1800</v>
      </c>
      <c r="D8" s="26" t="n">
        <v>450</v>
      </c>
      <c r="E8" s="32" t="n">
        <f aca="false">IF(OR(C8="",C8=0),"",MIN(1,D8/C8))</f>
        <v>0.25</v>
      </c>
      <c r="F8" s="40" t="n">
        <v>46569</v>
      </c>
      <c r="G8" s="22" t="n">
        <f aca="true">IF(OR(C8="",F8=""),"",IF(D8&gt;=C8,"Reached",IF(((YEAR(F8)-YEAR(TODAY()))*12+MONTH(F8)-MONTH(TODAY()))&lt;1,"Date passed: pick a new one",(C8-D8)/((YEAR(F8)-YEAR(TODAY()))*12+MONTH(F8)-MONTH(TODAY())))))</f>
        <v>150</v>
      </c>
      <c r="H8" s="33" t="str">
        <f aca="false">IF(E8="","",REPT("█",ROUND(MIN(1,MAX(0,E8))*10,0))&amp;REPT("░",10-ROUND(MIN(1,MAX(0,E8))*10,0)))</f>
        <v>███░░░░░░░</v>
      </c>
    </row>
    <row r="9" customFormat="false" ht="15" hidden="false" customHeight="false" outlineLevel="0" collapsed="false">
      <c r="B9" s="17" t="s">
        <v>173</v>
      </c>
      <c r="C9" s="26" t="n">
        <v>1200</v>
      </c>
      <c r="D9" s="26" t="n">
        <v>300</v>
      </c>
      <c r="E9" s="32" t="n">
        <f aca="false">IF(OR(C9="",C9=0),"",MIN(1,D9/C9))</f>
        <v>0.25</v>
      </c>
      <c r="F9" s="40" t="n">
        <v>46631</v>
      </c>
      <c r="G9" s="22" t="n">
        <f aca="true">IF(OR(C9="",F9=""),"",IF(D9&gt;=C9,"Reached",IF(((YEAR(F9)-YEAR(TODAY()))*12+MONTH(F9)-MONTH(TODAY()))&lt;1,"Date passed: pick a new one",(C9-D9)/((YEAR(F9)-YEAR(TODAY()))*12+MONTH(F9)-MONTH(TODAY())))))</f>
        <v>81.8181818181818</v>
      </c>
      <c r="H9" s="33" t="str">
        <f aca="false">IF(E9="","",REPT("█",ROUND(MIN(1,MAX(0,E9))*10,0))&amp;REPT("░",10-ROUND(MIN(1,MAX(0,E9))*10,0)))</f>
        <v>███░░░░░░░</v>
      </c>
    </row>
    <row r="10" customFormat="false" ht="15" hidden="false" customHeight="false" outlineLevel="0" collapsed="false">
      <c r="B10" s="17"/>
      <c r="C10" s="26"/>
      <c r="D10" s="26"/>
      <c r="E10" s="32" t="str">
        <f aca="false">IF(OR(C10="",C10=0),"",MIN(1,D10/C10))</f>
        <v/>
      </c>
      <c r="F10" s="40"/>
      <c r="G10" s="22" t="str">
        <f aca="true">IF(OR(C10="",F10=""),"",IF(D10&gt;=C10,"Reached",IF(((YEAR(F10)-YEAR(TODAY()))*12+MONTH(F10)-MONTH(TODAY()))&lt;1,"Date passed: pick a new one",(C10-D10)/((YEAR(F10)-YEAR(TODAY()))*12+MONTH(F10)-MONTH(TODAY())))))</f>
        <v/>
      </c>
      <c r="H10" s="33" t="str">
        <f aca="false">IF(E10="","",REPT("█",ROUND(MIN(1,MAX(0,E10))*10,0))&amp;REPT("░",10-ROUND(MIN(1,MAX(0,E10))*10,0)))</f>
        <v/>
      </c>
    </row>
    <row r="11" customFormat="false" ht="15" hidden="false" customHeight="false" outlineLevel="0" collapsed="false">
      <c r="B11" s="17"/>
      <c r="C11" s="26"/>
      <c r="D11" s="26"/>
      <c r="E11" s="32" t="str">
        <f aca="false">IF(OR(C11="",C11=0),"",MIN(1,D11/C11))</f>
        <v/>
      </c>
      <c r="F11" s="40"/>
      <c r="G11" s="22" t="str">
        <f aca="true">IF(OR(C11="",F11=""),"",IF(D11&gt;=C11,"Reached",IF(((YEAR(F11)-YEAR(TODAY()))*12+MONTH(F11)-MONTH(TODAY()))&lt;1,"Date passed: pick a new one",(C11-D11)/((YEAR(F11)-YEAR(TODAY()))*12+MONTH(F11)-MONTH(TODAY())))))</f>
        <v/>
      </c>
      <c r="H11" s="33" t="str">
        <f aca="false">IF(E11="","",REPT("█",ROUND(MIN(1,MAX(0,E11))*10,0))&amp;REPT("░",10-ROUND(MIN(1,MAX(0,E11))*10,0)))</f>
        <v/>
      </c>
    </row>
    <row r="12" customFormat="false" ht="15" hidden="false" customHeight="false" outlineLevel="0" collapsed="false">
      <c r="B12" s="17"/>
      <c r="C12" s="26"/>
      <c r="D12" s="26"/>
      <c r="E12" s="32" t="str">
        <f aca="false">IF(OR(C12="",C12=0),"",MIN(1,D12/C12))</f>
        <v/>
      </c>
      <c r="F12" s="40"/>
      <c r="G12" s="22" t="str">
        <f aca="true">IF(OR(C12="",F12=""),"",IF(D12&gt;=C12,"Reached",IF(((YEAR(F12)-YEAR(TODAY()))*12+MONTH(F12)-MONTH(TODAY()))&lt;1,"Date passed: pick a new one",(C12-D12)/((YEAR(F12)-YEAR(TODAY()))*12+MONTH(F12)-MONTH(TODAY())))))</f>
        <v/>
      </c>
      <c r="H12" s="33" t="str">
        <f aca="false">IF(E12="","",REPT("█",ROUND(MIN(1,MAX(0,E12))*10,0))&amp;REPT("░",10-ROUND(MIN(1,MAX(0,E12))*10,0)))</f>
        <v/>
      </c>
    </row>
    <row r="13" customFormat="false" ht="15" hidden="false" customHeight="false" outlineLevel="0" collapsed="false">
      <c r="B13" s="17"/>
      <c r="C13" s="26"/>
      <c r="D13" s="26"/>
      <c r="E13" s="32" t="str">
        <f aca="false">IF(OR(C13="",C13=0),"",MIN(1,D13/C13))</f>
        <v/>
      </c>
      <c r="F13" s="40"/>
      <c r="G13" s="22" t="str">
        <f aca="true">IF(OR(C13="",F13=""),"",IF(D13&gt;=C13,"Reached",IF(((YEAR(F13)-YEAR(TODAY()))*12+MONTH(F13)-MONTH(TODAY()))&lt;1,"Date passed: pick a new one",(C13-D13)/((YEAR(F13)-YEAR(TODAY()))*12+MONTH(F13)-MONTH(TODAY())))))</f>
        <v/>
      </c>
      <c r="H13" s="33" t="str">
        <f aca="false">IF(E13="","",REPT("█",ROUND(MIN(1,MAX(0,E13))*10,0))&amp;REPT("░",10-ROUND(MIN(1,MAX(0,E13))*10,0)))</f>
        <v/>
      </c>
    </row>
    <row r="14" customFormat="false" ht="15" hidden="false" customHeight="false" outlineLevel="0" collapsed="false">
      <c r="B14" s="17"/>
      <c r="C14" s="26"/>
      <c r="D14" s="26"/>
      <c r="E14" s="32" t="str">
        <f aca="false">IF(OR(C14="",C14=0),"",MIN(1,D14/C14))</f>
        <v/>
      </c>
      <c r="F14" s="40"/>
      <c r="G14" s="22" t="str">
        <f aca="true">IF(OR(C14="",F14=""),"",IF(D14&gt;=C14,"Reached",IF(((YEAR(F14)-YEAR(TODAY()))*12+MONTH(F14)-MONTH(TODAY()))&lt;1,"Date passed: pick a new one",(C14-D14)/((YEAR(F14)-YEAR(TODAY()))*12+MONTH(F14)-MONTH(TODAY())))))</f>
        <v/>
      </c>
      <c r="H14" s="33" t="str">
        <f aca="false">IF(E14="","",REPT("█",ROUND(MIN(1,MAX(0,E14))*10,0))&amp;REPT("░",10-ROUND(MIN(1,MAX(0,E14))*10,0)))</f>
        <v/>
      </c>
    </row>
    <row r="15" customFormat="false" ht="15" hidden="false" customHeight="false" outlineLevel="0" collapsed="false">
      <c r="B15" s="17"/>
      <c r="C15" s="26"/>
      <c r="D15" s="26"/>
      <c r="E15" s="32" t="str">
        <f aca="false">IF(OR(C15="",C15=0),"",MIN(1,D15/C15))</f>
        <v/>
      </c>
      <c r="F15" s="40"/>
      <c r="G15" s="22" t="str">
        <f aca="true">IF(OR(C15="",F15=""),"",IF(D15&gt;=C15,"Reached",IF(((YEAR(F15)-YEAR(TODAY()))*12+MONTH(F15)-MONTH(TODAY()))&lt;1,"Date passed: pick a new one",(C15-D15)/((YEAR(F15)-YEAR(TODAY()))*12+MONTH(F15)-MONTH(TODAY())))))</f>
        <v/>
      </c>
      <c r="H15" s="33" t="str">
        <f aca="false">IF(E15="","",REPT("█",ROUND(MIN(1,MAX(0,E15))*10,0))&amp;REPT("░",10-ROUND(MIN(1,MAX(0,E15))*10,0)))</f>
        <v/>
      </c>
    </row>
    <row r="16" customFormat="false" ht="15" hidden="false" customHeight="false" outlineLevel="0" collapsed="false">
      <c r="B16" s="17"/>
      <c r="C16" s="26"/>
      <c r="D16" s="26"/>
      <c r="E16" s="32" t="str">
        <f aca="false">IF(OR(C16="",C16=0),"",MIN(1,D16/C16))</f>
        <v/>
      </c>
      <c r="F16" s="40"/>
      <c r="G16" s="22" t="str">
        <f aca="true">IF(OR(C16="",F16=""),"",IF(D16&gt;=C16,"Reached",IF(((YEAR(F16)-YEAR(TODAY()))*12+MONTH(F16)-MONTH(TODAY()))&lt;1,"Date passed: pick a new one",(C16-D16)/((YEAR(F16)-YEAR(TODAY()))*12+MONTH(F16)-MONTH(TODAY())))))</f>
        <v/>
      </c>
      <c r="H16" s="33" t="str">
        <f aca="false">IF(E16="","",REPT("█",ROUND(MIN(1,MAX(0,E16))*10,0))&amp;REPT("░",10-ROUND(MIN(1,MAX(0,E16))*10,0)))</f>
        <v/>
      </c>
    </row>
  </sheetData>
  <sheetProtection sheet="true" formatColumns="false" formatRows="false" insertRows="false" sort="false" autoFilter="false"/>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2026-10-22T08:00:30Z</dcterms:created>
  <dc:creator>openpyxl</dc:creator>
  <dc:description/>
  <dc:language>en-US</dc:language>
  <cp:lastModifiedBy/>
  <dcterms:modified xsi:type="dcterms:W3CDTF">2026-10-22T08:00:32Z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