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name="BudgetYear" vbProcedure="false">Setup!$C$6</definedName>
    <definedName function="false" hidden="false" name="Categories" vbProcedure="false">Setup!$E$10:$E$39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<sst xmlns="http://schemas.openxmlformats.org/spreadsheetml/2006/main" count="595" uniqueCount="177">
  <si>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</si>
  <si>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</si>
  <si>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</si>
  <si>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</si>
  <si>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</si>
  <si>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</si>
  <si>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</si>
  <si>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</si>
  <si>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</si>
  <si>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</si>
  <si>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</si>
  <si>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</si>
  <si>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</si>
  <si>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</si>
  <si>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</si>
  <si>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</si>
  <si>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</si>
  <si>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</si>
  <si>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</si>
  <si>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</si>
  <si>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</si>
  <si>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</si>
  <si>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</si>
  <si>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</si>
  <si>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</si>
  <si>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</si>
  <si>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</si>
  <si>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</si>
  <si>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</si>
  <si>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</si>
  <si>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</si>
  <si>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</si>
  <si>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</si>
  <si>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</si>
  <si>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</si>
  <si>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</si>
  <si>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</si>
  <si>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</si>
  <si>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</si>
  <si>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</si>
  <si>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</si>
  <si>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</si>
  <si>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</si>
  <si>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</si>
  <si>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</si>
  <si>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</si>
  <si>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</si>
  <si>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</si>
  <si>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</si>
  <si>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</si>
  <si>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</si>
  <si>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</si>
  <si>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</si>
  <si>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</si>
  <si>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</si>
  <si>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</si>
  <si>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</si>
  <si>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</si>
  <si>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</si>
  <si>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</si>
  <si>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</si>
  <si>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</si>
  <si>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</si>
  <si>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 and debt paid</t>
  </si>
  <si>
    <t xml:space="preserve">Category</t>
  </si>
  <si>
    <t xml:space="preserve">Spent this year</t>
  </si>
  <si>
    <t xml:space="preserve">Year</t>
  </si>
  <si>
    <t xml:space="preserve">Share to savings and debt</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</si>
  <si>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</si>
  <si>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</si>
  <si>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</si>
  <si>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</si>
  <si>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</si>
  <si>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</si>
  <si>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</si>
  <si>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</si>
  <si>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</si>
  <si>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</si>
  <si>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</si>
  <si>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</si>
  <si>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</si>
  <si>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</si>
  <si>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</si>
  <si>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</si>
  <si>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</si>
  <si>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</si>
  <si>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</si>
  <si>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</si>
  <si>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</si>
  <si>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</si>
  <si>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</si>
  <si>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</si>
  <si>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</si>
  <si>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</si>
  <si>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</si>
  <si>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</si>
  <si>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</si>
  <si>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</si>
  <si>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</si>
  <si>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</si>
  <si>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</si>
  <si>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</si>
  <si>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</si>
  <si>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</si>
  <si>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</si>
  <si>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</si>
  <si>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</si>
  <si>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</si>
  <si>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</si>
  <si>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</si>
  <si>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</si>
  <si>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</si>
  <si>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</si>
  <si>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</si>
  <si>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</si>
  <si>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</si>
  <si>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Concert tickets</t>
  </si>
  <si>
    <t xml:space="preserve">Shoes</t>
  </si>
  <si>
    <t xml:space="preserve">Need more than 80 rows? Review &gt; Unprotect Sheet (no password), then insert rows above the last one.</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</si>
  <si>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</si>
  <si>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</si>
  <si>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</si>
  <si>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</si>
  <si>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</si>
  <si>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</si>
  <si>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</si>
  <si>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</si>
  <si>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</si>
  <si>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</si>
  <si>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</si>
  <si>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</si>
  <si>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</si>
  <si>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</si>
  <si>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</si>
  <si>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</si>
  <si>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</si>
  <si>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</si>
  <si>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</si>
  <si>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</si>
  <si>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</si>
  <si>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every two weeks or twice a month?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</si>
  <si>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</si>
  <si>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</si>
  <si>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</si>
  <si>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</si>
  <si>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</si>
  <si>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</si>
  <si>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</si>
  <si>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</si>
  <si>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</si>
  <si>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</si>
  <si>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</si>
  <si>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</si>
  <si>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</si>
  <si>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Goes to the debt that is first in pay order.</t>
  </si>
  <si>
    <t xml:space="preserve">Balance</t>
  </si>
  <si>
    <t xml:space="preserve">Rate (APR)</t>
  </si>
  <si>
    <t xml:space="preserve">Minimum</t>
  </si>
  <si>
    <t xml:space="preserve">Pay order</t>
  </si>
  <si>
    <t xml:space="preserve">Months at minimum</t>
  </si>
  <si>
    <t xml:space="preserve">Interest at minimum</t>
  </si>
  <si>
    <t xml:space="preserve">Months with extra</t>
  </si>
  <si>
    <t xml:space="preserve">Interest saved</t>
  </si>
  <si>
    <t xml:space="preserve">Store card</t>
  </si>
  <si>
    <t xml:space="preserve">Car loan</t>
  </si>
  <si>
    <t xml:space="preserve">Total</t>
  </si>
  <si>
    <t xml:space="preserve">Savings goals</t>
  </si>
  <si>
    <t xml:space="preserve">One line per goal. The bar fills as you save.</t>
  </si>
  <si>
    <t xml:space="preserve">Goal</t>
  </si>
  <si>
    <t xml:space="preserve">Target</t>
  </si>
  <si>
    <t xml:space="preserve">Saved</t>
  </si>
  <si>
    <t xml:space="preserve">Progress</t>
  </si>
  <si>
    <t xml:space="preserve">Target date</t>
  </si>
  <si>
    <t xml:space="preserve">Save per month</t>
  </si>
  <si>
    <t xml:space="preserve">Progress bar</t>
  </si>
  <si>
    <t xml:space="preserve">Holiday trip</t>
  </si>
  <si>
    <t xml:space="preserve">New laptop</t>
  </si>
</sst>
</file>

<file path=xl/styles.xml><?xml version="1.0" encoding="utf-8"?>
<styleSheet xmlns="http://schemas.openxmlformats.org/spreadsheetml/2006/main">
  <numFmts count="11">
    <numFmt numFmtId="164" formatCode="General"/>
    <numFmt numFmtId="165" formatCode="\$#,##0.00;[RED]&quot;-$&quot;#,##0.00;\$0.00"/>
    <numFmt numFmtId="166" formatCode="0%"/>
    <numFmt numFmtId="167" formatCode="\$#,##0"/>
    <numFmt numFmtId="168" formatCode="0"/>
    <numFmt numFmtId="169" formatCode="mmm\ d"/>
    <numFmt numFmtId="170" formatCode="General"/>
    <numFmt numFmtId="171" formatCode="mmm\ d&quot;, &quot;yyyy"/>
    <numFmt numFmtId="172" formatCode="ddd\ mmm\ d"/>
    <numFmt numFmtId="173" formatCode="0.0%"/>
    <numFmt numFmtId="174" formatCode="mmm\ yyyy"/>
  </numFmts>
  <fonts count="22">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u val="singl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3"/>
      <color rgb="FF000000"/>
      <name val="Arial"/>
      <family val="2"/>
    </font>
    <font>
      <sz val="9"/>
      <color rgb="FF000000"/>
      <name val="Arial"/>
      <family val="2"/>
    </font>
    <font>
      <i val="true"/>
      <sz val="9"/>
      <color rgb="FF5E6B78"/>
      <name val="Arial"/>
      <family val="0"/>
      <charset val="1"/>
    </font>
    <font>
      <sz val="9"/>
      <color rgb="FF2F6F5E"/>
      <name val="Arial"/>
      <family val="0"/>
      <charset val="1"/>
    </font>
  </fonts>
  <fills count="5">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13" fillId="4" borderId="1" xfId="0" applyFont="true" applyBorder="true" applyAlignment="true" applyProtection="true">
      <alignment horizontal="center" vertical="bottom" textRotation="0" wrapText="false" indent="0" shrinkToFit="false"/>
      <protection locked="false" hidden="false"/>
    </xf>
    <xf numFmtId="164" fontId="13" fillId="4" borderId="1" xfId="0" applyFont="true" applyBorder="true" applyAlignment="true" applyProtection="true">
      <alignment horizontal="general" vertical="bottom" textRotation="0" wrapText="false" indent="1" shrinkToFit="false"/>
      <protection locked="fals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71" fontId="13" fillId="4" borderId="1" xfId="0" applyFont="true" applyBorder="true" applyAlignment="false" applyProtection="true">
      <alignment horizontal="general" vertical="bottom" textRotation="0" wrapText="false" indent="0" shrinkToFit="false"/>
      <protection locked="fals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3" fontId="13" fillId="4" borderId="1" xfId="0" applyFont="true" applyBorder="true" applyAlignment="false" applyProtection="true">
      <alignment horizontal="general" vertical="bottom" textRotation="0" wrapText="false" indent="0" shrinkToFit="false"/>
      <protection locked="fals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4" fontId="13" fillId="4" borderId="1" xfId="0" applyFont="true" applyBorder="true" applyAlignment="false" applyProtection="true">
      <alignment horizontal="general" vertical="bottom" textRotation="0" wrapText="false" indent="0" shrinkToFit="false"/>
      <protection locked="fals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FFFFFF"/>
      </font>
      <fill>
        <patternFill>
          <bgColor rgb="FF2F6F5E"/>
        </patternFill>
      </fill>
    </dxf>
    <dxf>
      <font>
        <b val="1"/>
        <color rgb="FFC2410C"/>
      </font>
    </dxf>
    <dxf>
      <font>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a:solidFill>
                  <a:srgbClr val="000000"/>
                </a:solidFill>
                <a:latin typeface="Arial"/>
              </a:defRPr>
            </a:pPr>
            <a:r>
              <a:rPr b="1" sz="1300" spc="-1" strike="noStrike">
                <a:solidFill>
                  <a:srgbClr val="000000"/>
                </a:solidFill>
                <a:latin typeface="Arial"/>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2112.09</c:v>
                </c:pt>
              </c:numCache>
            </c:numRef>
          </c:val>
        </c:ser>
        <c:gapWidth val="150"/>
        <c:overlap val="0"/>
        <c:axId val="26444737"/>
        <c:axId val="45113722"/>
      </c:barChart>
      <c:catAx>
        <c:axId val="264447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900" spc="-1" strike="noStrike">
                <a:solidFill>
                  <a:srgbClr val="000000"/>
                </a:solidFill>
                <a:latin typeface="Arial"/>
              </a:defRPr>
            </a:pPr>
          </a:p>
        </c:txPr>
        <c:crossAx val="45113722"/>
        <c:crosses val="autoZero"/>
        <c:auto val="1"/>
        <c:lblAlgn val="ctr"/>
        <c:lblOffset val="100"/>
        <c:noMultiLvlLbl val="0"/>
      </c:catAx>
      <c:valAx>
        <c:axId val="4511372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900" spc="-1" strike="noStrike">
                <a:solidFill>
                  <a:srgbClr val="000000"/>
                </a:solidFill>
                <a:latin typeface="Arial"/>
              </a:defRPr>
            </a:pPr>
          </a:p>
        </c:txPr>
        <c:crossAx val="26444737"/>
        <c:crosses val="autoZero"/>
        <c:crossBetween val="between"/>
      </c:valAx>
      <c:spPr>
        <a:noFill/>
        <a:ln w="0">
          <a:noFill/>
        </a:ln>
      </c:spPr>
    </c:plotArea>
    <c:legend>
      <c:legendPos val="r"/>
      <c:overlay val="0"/>
      <c:spPr>
        <a:noFill/>
        <a:ln w="0">
          <a:noFill/>
        </a:ln>
      </c:spPr>
      <c:txPr>
        <a:bodyPr/>
        <a:lstStyle/>
        <a:p>
          <a:pPr>
            <a:defRPr b="0" sz="900" spc="-1" strike="noStrike">
              <a:solidFill>
                <a:srgbClr val="000000"/>
              </a:solidFill>
              <a:latin typeface="Arial"/>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a:solidFill>
                  <a:srgbClr val="000000"/>
                </a:solidFill>
                <a:latin typeface="Arial"/>
              </a:defRPr>
            </a:pPr>
            <a:r>
              <a:rPr b="1" sz="1300" spc="-1" strike="noStrike">
                <a:solidFill>
                  <a:srgbClr val="000000"/>
                </a:solidFill>
                <a:latin typeface="Arial"/>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1"/>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2"/>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dLbl>
              <c:idx val="3"/>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dLbl>
            <c:txPr>
              <a:bodyPr wrap="square"/>
              <a:lstStyle/>
              <a:p>
                <a:pPr>
                  <a:defRPr b="0" sz="900" spc="-1" strike="noStrike">
                    <a:solidFill>
                      <a:srgbClr val="000000"/>
                    </a:solidFill>
                    <a:latin typeface="Arial"/>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238.49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900" spc="-1" strike="noStrike">
              <a:solidFill>
                <a:srgbClr val="000000"/>
              </a:solidFill>
              <a:latin typeface="Arial"/>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5</xdr:col>
      <xdr:colOff>1037160</xdr:colOff>
      <xdr:row>50</xdr:row>
      <xdr:rowOff>32400</xdr:rowOff>
    </xdr:to>
    <xdr:graphicFrame>
      <xdr:nvGraphicFramePr>
        <xdr:cNvPr id="0" name="Chart 1"/>
        <xdr:cNvGraphicFramePr/>
      </xdr:nvGraphicFramePr>
      <xdr:xfrm>
        <a:off x="211320" y="90486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6</xdr:col>
      <xdr:colOff>505800</xdr:colOff>
      <xdr:row>31</xdr:row>
      <xdr:rowOff>42120</xdr:rowOff>
    </xdr:to>
    <xdr:graphicFrame>
      <xdr:nvGraphicFramePr>
        <xdr:cNvPr id="1" name="Chart 2"/>
        <xdr:cNvGraphicFramePr/>
      </xdr:nvGraphicFramePr>
      <xdr:xfrm>
        <a:off x="2960280" y="515304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75"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75"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19.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To do</v>
      </c>
      <c r="E19" s="13" t="str">
        <f aca="false">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5"/>
    <col collapsed="false" customWidth="true" hidden="false" outlineLevel="0" max="5" min="3" style="0" width="14"/>
    <col collapsed="false" customWidth="true" hidden="false" outlineLevel="0" max="6" min="6" style="0" width="21"/>
    <col collapsed="false" customWidth="true" hidden="false" outlineLevel="0" max="7" min="7"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19.5" hidden="false" customHeight="true" outlineLevel="0" collapsed="false">
      <c r="B6" s="10" t="s">
        <v>59</v>
      </c>
      <c r="C6" s="10" t="s">
        <v>60</v>
      </c>
      <c r="D6" s="10" t="s">
        <v>61</v>
      </c>
      <c r="E6" s="10" t="s">
        <v>62</v>
      </c>
      <c r="F6" s="10" t="s">
        <v>63</v>
      </c>
      <c r="H6" s="10" t="s">
        <v>64</v>
      </c>
      <c r="I6" s="10" t="s">
        <v>65</v>
      </c>
    </row>
    <row r="7" customFormat="false" ht="19.5" hidden="false" customHeight="true" outlineLevel="0" collapsed="false">
      <c r="B7" s="21" t="s">
        <v>12</v>
      </c>
      <c r="C7" s="22" t="n">
        <f aca="false">IF(COUNT(January!$E$7:$E$86)&gt;0,January!H6,"")</f>
        <v>3900</v>
      </c>
      <c r="D7" s="22" t="n">
        <f aca="false">IF(COUNT(January!$E$7:$E$86)&gt;0,January!H7,"")</f>
        <v>2112.09</v>
      </c>
      <c r="E7" s="22" t="n">
        <f aca="false">IF(COUNT(January!$E$7:$E$86)&gt;0,January!H8,"")</f>
        <v>1787.91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9.5" hidden="false" customHeight="tru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9.5" hidden="false" customHeight="tru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9.5" hidden="false" customHeight="tru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9.5" hidden="false" customHeight="tru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9.5" hidden="false" customHeight="tru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9.5" hidden="false" customHeight="tru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9.5" hidden="false" customHeight="tru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9.5" hidden="false" customHeight="tru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9.5" hidden="false" customHeight="tru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9.5" hidden="false" customHeight="tru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120</v>
      </c>
      <c r="J17" s="11" t="str">
        <f aca="false">IF(H17="","",Setup!F20)</f>
        <v>Wants</v>
      </c>
    </row>
    <row r="18" customFormat="false" ht="19.5" hidden="false" customHeight="tru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9.5" hidden="false" customHeight="true" outlineLevel="0" collapsed="false">
      <c r="B19" s="19" t="s">
        <v>66</v>
      </c>
      <c r="C19" s="23" t="n">
        <f aca="false">SUM(C7:C18)</f>
        <v>3900</v>
      </c>
      <c r="D19" s="23" t="n">
        <f aca="false">SUM(D7:D18)</f>
        <v>2112.09</v>
      </c>
      <c r="E19" s="23" t="n">
        <f aca="false">SUM(E7:E18)</f>
        <v>1787.91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9.5" hidden="false" customHeight="tru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9.5" hidden="false" customHeight="tru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9.5" hidden="false" customHeight="tru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33.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9.5" hidden="false" customHeight="tru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9.5" hidden="false" customHeight="true" outlineLevel="0" collapsed="false">
      <c r="B25" s="11" t="s">
        <v>70</v>
      </c>
      <c r="C25" s="22" t="n">
        <f aca="false">SUMIF($J$7:$J$36,"Wants",$I$7:$I$36)</f>
        <v>238.49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9.5" hidden="false" customHeight="tru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9.5" hidden="false" customHeight="tru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9.5" hidden="false" customHeight="tru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9.5" hidden="false" customHeight="tru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9.5" hidden="false" customHeight="tru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9.5" hidden="false" customHeight="tru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9.5" hidden="false" customHeight="tru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9.5" hidden="false" customHeight="tru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9.5" hidden="false" customHeight="tru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9.5" hidden="false" customHeight="tru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9.5" hidden="false" customHeight="tru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19.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t="n">
        <v>46390</v>
      </c>
      <c r="C7" s="30" t="s">
        <v>105</v>
      </c>
      <c r="D7" s="17" t="s">
        <v>77</v>
      </c>
      <c r="E7" s="26" t="n">
        <v>1200</v>
      </c>
      <c r="G7" s="19" t="s">
        <v>61</v>
      </c>
      <c r="H7" s="31" t="n">
        <f aca="false">SUM(E7:E86)</f>
        <v>2112.09</v>
      </c>
    </row>
    <row r="8" customFormat="false" ht="19.5" hidden="false" customHeight="true" outlineLevel="0" collapsed="false">
      <c r="B8" s="29" t="n">
        <v>46391</v>
      </c>
      <c r="C8" s="30" t="s">
        <v>106</v>
      </c>
      <c r="D8" s="17" t="s">
        <v>80</v>
      </c>
      <c r="E8" s="26" t="n">
        <v>112.4</v>
      </c>
      <c r="G8" s="19" t="s">
        <v>62</v>
      </c>
      <c r="H8" s="31" t="n">
        <f aca="false">H6-H7</f>
        <v>1787.91</v>
      </c>
    </row>
    <row r="9" customFormat="false" ht="19.5" hidden="false" customHeight="true" outlineLevel="0" collapsed="false">
      <c r="B9" s="29" t="n">
        <v>46393</v>
      </c>
      <c r="C9" s="30" t="s">
        <v>107</v>
      </c>
      <c r="D9" s="17" t="s">
        <v>81</v>
      </c>
      <c r="E9" s="26" t="n">
        <v>60</v>
      </c>
      <c r="G9" s="19" t="s">
        <v>63</v>
      </c>
      <c r="H9" s="31" t="n">
        <f aca="false">SUMPRODUCT(SUMIFS($E$7:$E$86,$D$7:$D$86,Setup!$E$10:$E$39)*((Setup!$F$10:$F$39="Savings")+(Setup!$F$10:$F$39="Debt")))</f>
        <v>350</v>
      </c>
    </row>
    <row r="10" customFormat="false" ht="19.5" hidden="false" customHeight="true" outlineLevel="0" collapsed="false">
      <c r="B10" s="29" t="n">
        <v>46396</v>
      </c>
      <c r="C10" s="30" t="s">
        <v>108</v>
      </c>
      <c r="D10" s="17" t="s">
        <v>85</v>
      </c>
      <c r="E10" s="26" t="n">
        <v>38.5</v>
      </c>
    </row>
    <row r="11" customFormat="false" ht="19.5" hidden="false" customHeight="true" outlineLevel="0" collapsed="false">
      <c r="B11" s="29" t="n">
        <v>46398</v>
      </c>
      <c r="C11" s="30" t="s">
        <v>106</v>
      </c>
      <c r="D11" s="17" t="s">
        <v>80</v>
      </c>
      <c r="E11" s="26" t="n">
        <v>96.2</v>
      </c>
      <c r="G11" s="10" t="s">
        <v>64</v>
      </c>
      <c r="H11" s="10" t="s">
        <v>109</v>
      </c>
      <c r="I11" s="10" t="s">
        <v>61</v>
      </c>
      <c r="J11" s="10" t="s">
        <v>110</v>
      </c>
      <c r="K11" s="10" t="s">
        <v>111</v>
      </c>
      <c r="L11" s="10"/>
    </row>
    <row r="12" customFormat="false" ht="19.5" hidden="false" customHeight="true" outlineLevel="0" collapsed="false">
      <c r="B12" s="29" t="n">
        <v>46401</v>
      </c>
      <c r="C12" s="30" t="s">
        <v>112</v>
      </c>
      <c r="D12" s="17" t="s">
        <v>83</v>
      </c>
      <c r="E12" s="26" t="n">
        <v>55</v>
      </c>
      <c r="G12" s="11" t="str">
        <f aca="false">IF(Setup!E10="","",Setup!E10)</f>
        <v>Rent or mortgage</v>
      </c>
      <c r="H12" s="22" t="n">
        <f aca="false">IF(G12="","",Setup!G10)</f>
        <v>1400</v>
      </c>
      <c r="I12" s="22" t="n">
        <f aca="false">IF(G12="","",SUMIFS($E$7:$E$86,$D$7:$D$86,G12))</f>
        <v>1200</v>
      </c>
      <c r="J12" s="22" t="n">
        <f aca="false">IF(G12="","",H12-I12)</f>
        <v>200</v>
      </c>
      <c r="K12" s="32" t="n">
        <f aca="false">IF(OR(G12="",H12=0),"",I12/H12)</f>
        <v>0.857142857142857</v>
      </c>
      <c r="L12" s="33" t="str">
        <f aca="false">IF(K12="","",REPT("█",ROUND(MIN(1,MAX(0,K12))*10,0))&amp;REPT("░",10-ROUND(MIN(1,MAX(0,K12))*10,0)))</f>
        <v>█████████░</v>
      </c>
    </row>
    <row r="13" customFormat="false" ht="19.5" hidden="false" customHeight="true" outlineLevel="0" collapsed="false">
      <c r="B13" s="29" t="n">
        <v>46402</v>
      </c>
      <c r="C13" s="30" t="s">
        <v>113</v>
      </c>
      <c r="D13" s="17" t="s">
        <v>92</v>
      </c>
      <c r="E13" s="26" t="n">
        <v>200</v>
      </c>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t="n">
        <v>46405</v>
      </c>
      <c r="C14" s="30" t="s">
        <v>114</v>
      </c>
      <c r="D14" s="17" t="s">
        <v>88</v>
      </c>
      <c r="E14" s="26" t="n">
        <v>15.99</v>
      </c>
      <c r="G14" s="11" t="str">
        <f aca="false">IF(Setup!E12="","",Setup!E12)</f>
        <v>Groceries</v>
      </c>
      <c r="H14" s="22" t="n">
        <f aca="false">IF(G14="","",Setup!G12)</f>
        <v>500</v>
      </c>
      <c r="I14" s="22" t="n">
        <f aca="false">IF(G14="","",SUMIFS($E$7:$E$86,$D$7:$D$86,G14))</f>
        <v>208.6</v>
      </c>
      <c r="J14" s="22" t="n">
        <f aca="false">IF(G14="","",H14-I14)</f>
        <v>291.4</v>
      </c>
      <c r="K14" s="32" t="n">
        <f aca="false">IF(OR(G14="",H14=0),"",I14/H14)</f>
        <v>0.4172</v>
      </c>
      <c r="L14" s="33" t="str">
        <f aca="false">IF(K14="","",REPT("█",ROUND(MIN(1,MAX(0,K14))*10,0))&amp;REPT("░",10-ROUND(MIN(1,MAX(0,K14))*10,0)))</f>
        <v>████░░░░░░</v>
      </c>
    </row>
    <row r="15" customFormat="false" ht="19.5" hidden="false" customHeight="true" outlineLevel="0" collapsed="false">
      <c r="B15" s="29" t="n">
        <v>46408</v>
      </c>
      <c r="C15" s="30" t="s">
        <v>115</v>
      </c>
      <c r="D15" s="17" t="s">
        <v>95</v>
      </c>
      <c r="E15" s="26" t="n">
        <v>150</v>
      </c>
      <c r="G15" s="11" t="str">
        <f aca="false">IF(Setup!E13="","",Setup!E13)</f>
        <v>Transport</v>
      </c>
      <c r="H15" s="22" t="n">
        <f aca="false">IF(G15="","",Setup!G13)</f>
        <v>220</v>
      </c>
      <c r="I15" s="22" t="n">
        <f aca="false">IF(G15="","",SUMIFS($E$7:$E$86,$D$7:$D$86,G15))</f>
        <v>60</v>
      </c>
      <c r="J15" s="22" t="n">
        <f aca="false">IF(G15="","",H15-I15)</f>
        <v>160</v>
      </c>
      <c r="K15" s="32" t="n">
        <f aca="false">IF(OR(G15="",H15=0),"",I15/H15)</f>
        <v>0.272727272727273</v>
      </c>
      <c r="L15" s="33" t="str">
        <f aca="false">IF(K15="","",REPT("█",ROUND(MIN(1,MAX(0,K15))*10,0))&amp;REPT("░",10-ROUND(MIN(1,MAX(0,K15))*10,0)))</f>
        <v>███░░░░░░░</v>
      </c>
    </row>
    <row r="16" customFormat="false" ht="19.5" hidden="false" customHeight="true" outlineLevel="0" collapsed="false">
      <c r="B16" s="29" t="n">
        <v>46411</v>
      </c>
      <c r="C16" s="30" t="s">
        <v>116</v>
      </c>
      <c r="D16" s="17" t="s">
        <v>89</v>
      </c>
      <c r="E16" s="26" t="n">
        <v>120</v>
      </c>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t="n">
        <v>46412</v>
      </c>
      <c r="C17" s="30" t="s">
        <v>117</v>
      </c>
      <c r="D17" s="17" t="s">
        <v>87</v>
      </c>
      <c r="E17" s="26" t="n">
        <v>64</v>
      </c>
      <c r="G17" s="11" t="str">
        <f aca="false">IF(Setup!E15="","",Setup!E15)</f>
        <v>Phone and internet</v>
      </c>
      <c r="H17" s="22" t="n">
        <f aca="false">IF(G17="","",Setup!G15)</f>
        <v>95</v>
      </c>
      <c r="I17" s="22" t="n">
        <f aca="false">IF(G17="","",SUMIFS($E$7:$E$86,$D$7:$D$86,G17))</f>
        <v>55</v>
      </c>
      <c r="J17" s="22" t="n">
        <f aca="false">IF(G17="","",H17-I17)</f>
        <v>40</v>
      </c>
      <c r="K17" s="32" t="n">
        <f aca="false">IF(OR(G17="",H17=0),"",I17/H17)</f>
        <v>0.578947368421053</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38.5</v>
      </c>
      <c r="J19" s="22" t="n">
        <f aca="false">IF(G19="","",H19-I19)</f>
        <v>111.5</v>
      </c>
      <c r="K19" s="32" t="n">
        <f aca="false">IF(OR(G19="",H19=0),"",I19/H19)</f>
        <v>0.256666666666667</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64</v>
      </c>
      <c r="J20" s="22" t="n">
        <f aca="false">IF(G20="","",H20-I20)</f>
        <v>56</v>
      </c>
      <c r="K20" s="32" t="n">
        <f aca="false">IF(OR(G20="",H20=0),"",I20/H20)</f>
        <v>0.533333333333333</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15.99</v>
      </c>
      <c r="J21" s="22" t="n">
        <f aca="false">IF(G21="","",H21-I21)</f>
        <v>29.01</v>
      </c>
      <c r="K21" s="32" t="n">
        <f aca="false">IF(OR(G21="",H21=0),"",I21/H21)</f>
        <v>0.355333333333333</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120</v>
      </c>
      <c r="J22" s="22" t="n">
        <f aca="false">IF(G22="","",H22-I22)</f>
        <v>-20</v>
      </c>
      <c r="K22" s="32" t="n">
        <f aca="false">IF(OR(G22="",H22=0),"",I22/H22)</f>
        <v>1.2</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200</v>
      </c>
      <c r="J25" s="22" t="n">
        <f aca="false">IF(G25="","",H25-I25)</f>
        <v>0</v>
      </c>
      <c r="K25" s="32" t="n">
        <f aca="false">IF(OR(G25="",H25=0),"",I25/H25)</f>
        <v>1</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150</v>
      </c>
      <c r="J28" s="22" t="n">
        <f aca="false">IF(G28="","",H28-I28)</f>
        <v>0</v>
      </c>
      <c r="K28" s="32" t="n">
        <f aca="false">IF(OR(G28="",H28=0),"",I28/H28)</f>
        <v>1</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9"/>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D4" s="3" t="s">
        <v>3</v>
      </c>
      <c r="E4" s="3" t="s">
        <v>4</v>
      </c>
      <c r="F4" s="3" t="s">
        <v>5</v>
      </c>
      <c r="G4" s="3" t="s">
        <v>6</v>
      </c>
      <c r="H4" s="3" t="s">
        <v>7</v>
      </c>
      <c r="I4" s="3" t="s">
        <v>8</v>
      </c>
      <c r="J4" s="3" t="s">
        <v>9</v>
      </c>
    </row>
    <row r="6" customFormat="false" ht="19.5" hidden="false" customHeight="true" outlineLevel="0" collapsed="false">
      <c r="B6" s="10" t="s">
        <v>100</v>
      </c>
      <c r="C6" s="10" t="s">
        <v>101</v>
      </c>
      <c r="D6" s="10" t="s">
        <v>64</v>
      </c>
      <c r="E6" s="10" t="s">
        <v>102</v>
      </c>
      <c r="G6" s="19" t="s">
        <v>103</v>
      </c>
      <c r="H6" s="27" t="n">
        <f aca="false">Setup!$C$18</f>
        <v>3900</v>
      </c>
      <c r="I6" s="28" t="s">
        <v>104</v>
      </c>
    </row>
    <row r="7" customFormat="false" ht="19.5" hidden="false" customHeight="true" outlineLevel="0" collapsed="false">
      <c r="B7" s="29"/>
      <c r="C7" s="30"/>
      <c r="D7" s="17"/>
      <c r="E7" s="26"/>
      <c r="G7" s="19" t="s">
        <v>61</v>
      </c>
      <c r="H7" s="31" t="n">
        <f aca="false">SUM(E7:E86)</f>
        <v>0</v>
      </c>
    </row>
    <row r="8" customFormat="false" ht="19.5" hidden="false" customHeight="true" outlineLevel="0" collapsed="false">
      <c r="B8" s="29"/>
      <c r="C8" s="30"/>
      <c r="D8" s="17"/>
      <c r="E8" s="26"/>
      <c r="G8" s="19" t="s">
        <v>62</v>
      </c>
      <c r="H8" s="31" t="n">
        <f aca="false">H6-H7</f>
        <v>3900</v>
      </c>
    </row>
    <row r="9" customFormat="false" ht="19.5" hidden="false" customHeight="true" outlineLevel="0" collapsed="false">
      <c r="B9" s="29"/>
      <c r="C9" s="30"/>
      <c r="D9" s="17"/>
      <c r="E9" s="26"/>
      <c r="G9" s="19" t="s">
        <v>63</v>
      </c>
      <c r="H9" s="31" t="n">
        <f aca="false">SUMPRODUCT(SUMIFS($E$7:$E$86,$D$7:$D$86,Setup!$E$10:$E$39)*((Setup!$F$10:$F$39="Savings")+(Setup!$F$10:$F$39="Debt")))</f>
        <v>0</v>
      </c>
    </row>
    <row r="10" customFormat="false" ht="19.5" hidden="false" customHeight="true" outlineLevel="0" collapsed="false">
      <c r="B10" s="29"/>
      <c r="C10" s="30"/>
      <c r="D10" s="17"/>
      <c r="E10" s="26"/>
    </row>
    <row r="11" customFormat="false" ht="19.5" hidden="false" customHeight="true" outlineLevel="0" collapsed="false">
      <c r="B11" s="29"/>
      <c r="C11" s="30"/>
      <c r="D11" s="17"/>
      <c r="E11" s="26"/>
      <c r="G11" s="10" t="s">
        <v>64</v>
      </c>
      <c r="H11" s="10" t="s">
        <v>109</v>
      </c>
      <c r="I11" s="10" t="s">
        <v>61</v>
      </c>
      <c r="J11" s="10" t="s">
        <v>110</v>
      </c>
      <c r="K11" s="10" t="s">
        <v>111</v>
      </c>
      <c r="L11" s="10"/>
    </row>
    <row r="12" customFormat="false" ht="19.5" hidden="false" customHeight="true" outlineLevel="0" collapsed="false">
      <c r="B12" s="29"/>
      <c r="C12" s="30"/>
      <c r="D12" s="17"/>
      <c r="E12" s="26"/>
      <c r="G12" s="11" t="str">
        <f aca="false">IF(Setup!E10="","",Setup!E10)</f>
        <v>Rent or mortgage</v>
      </c>
      <c r="H12" s="22" t="n">
        <f aca="false">IF(G12="","",Setup!G10)</f>
        <v>1400</v>
      </c>
      <c r="I12" s="22" t="n">
        <f aca="false">IF(G12="","",SUMIFS($E$7:$E$86,$D$7:$D$86,G12))</f>
        <v>0</v>
      </c>
      <c r="J12" s="22" t="n">
        <f aca="false">IF(G12="","",H12-I12)</f>
        <v>1400</v>
      </c>
      <c r="K12" s="32" t="n">
        <f aca="false">IF(OR(G12="",H12=0),"",I12/H12)</f>
        <v>0</v>
      </c>
      <c r="L12" s="33" t="str">
        <f aca="false">IF(K12="","",REPT("█",ROUND(MIN(1,MAX(0,K12))*10,0))&amp;REPT("░",10-ROUND(MIN(1,MAX(0,K12))*10,0)))</f>
        <v>░░░░░░░░░░</v>
      </c>
    </row>
    <row r="13" customFormat="false" ht="19.5" hidden="false" customHeight="true" outlineLevel="0" collapsed="false">
      <c r="B13" s="29"/>
      <c r="C13" s="30"/>
      <c r="D13" s="17"/>
      <c r="E13" s="26"/>
      <c r="G13" s="11" t="str">
        <f aca="false">IF(Setup!E11="","",Setup!E11)</f>
        <v>Utilities</v>
      </c>
      <c r="H13" s="22" t="n">
        <f aca="false">IF(G13="","",Setup!G11)</f>
        <v>180</v>
      </c>
      <c r="I13" s="22" t="n">
        <f aca="false">IF(G13="","",SUMIFS($E$7:$E$86,$D$7:$D$86,G13))</f>
        <v>0</v>
      </c>
      <c r="J13" s="22" t="n">
        <f aca="false">IF(G13="","",H13-I13)</f>
        <v>180</v>
      </c>
      <c r="K13" s="32" t="n">
        <f aca="false">IF(OR(G13="",H13=0),"",I13/H13)</f>
        <v>0</v>
      </c>
      <c r="L13" s="33" t="str">
        <f aca="false">IF(K13="","",REPT("█",ROUND(MIN(1,MAX(0,K13))*10,0))&amp;REPT("░",10-ROUND(MIN(1,MAX(0,K13))*10,0)))</f>
        <v>░░░░░░░░░░</v>
      </c>
    </row>
    <row r="14" customFormat="false" ht="19.5" hidden="false" customHeight="true" outlineLevel="0" collapsed="false">
      <c r="B14" s="29"/>
      <c r="C14" s="30"/>
      <c r="D14" s="17"/>
      <c r="E14" s="26"/>
      <c r="G14" s="11" t="str">
        <f aca="false">IF(Setup!E12="","",Setup!E12)</f>
        <v>Groceries</v>
      </c>
      <c r="H14" s="22" t="n">
        <f aca="false">IF(G14="","",Setup!G12)</f>
        <v>500</v>
      </c>
      <c r="I14" s="22" t="n">
        <f aca="false">IF(G14="","",SUMIFS($E$7:$E$86,$D$7:$D$86,G14))</f>
        <v>0</v>
      </c>
      <c r="J14" s="22" t="n">
        <f aca="false">IF(G14="","",H14-I14)</f>
        <v>500</v>
      </c>
      <c r="K14" s="32" t="n">
        <f aca="false">IF(OR(G14="",H14=0),"",I14/H14)</f>
        <v>0</v>
      </c>
      <c r="L14" s="33" t="str">
        <f aca="false">IF(K14="","",REPT("█",ROUND(MIN(1,MAX(0,K14))*10,0))&amp;REPT("░",10-ROUND(MIN(1,MAX(0,K14))*10,0)))</f>
        <v>░░░░░░░░░░</v>
      </c>
    </row>
    <row r="15" customFormat="false" ht="19.5" hidden="false" customHeight="true" outlineLevel="0" collapsed="false">
      <c r="B15" s="29"/>
      <c r="C15" s="30"/>
      <c r="D15" s="17"/>
      <c r="E15" s="26"/>
      <c r="G15" s="11" t="str">
        <f aca="false">IF(Setup!E13="","",Setup!E13)</f>
        <v>Transport</v>
      </c>
      <c r="H15" s="22" t="n">
        <f aca="false">IF(G15="","",Setup!G13)</f>
        <v>220</v>
      </c>
      <c r="I15" s="22" t="n">
        <f aca="false">IF(G15="","",SUMIFS($E$7:$E$86,$D$7:$D$86,G15))</f>
        <v>0</v>
      </c>
      <c r="J15" s="22" t="n">
        <f aca="false">IF(G15="","",H15-I15)</f>
        <v>220</v>
      </c>
      <c r="K15" s="32" t="n">
        <f aca="false">IF(OR(G15="",H15=0),"",I15/H15)</f>
        <v>0</v>
      </c>
      <c r="L15" s="33" t="str">
        <f aca="false">IF(K15="","",REPT("█",ROUND(MIN(1,MAX(0,K15))*10,0))&amp;REPT("░",10-ROUND(MIN(1,MAX(0,K15))*10,0)))</f>
        <v>░░░░░░░░░░</v>
      </c>
    </row>
    <row r="16" customFormat="false" ht="19.5" hidden="false" customHeight="true" outlineLevel="0" collapsed="false">
      <c r="B16" s="29"/>
      <c r="C16" s="30"/>
      <c r="D16" s="17"/>
      <c r="E16" s="26"/>
      <c r="G16" s="11" t="str">
        <f aca="false">IF(Setup!E14="","",Setup!E14)</f>
        <v>Insurance</v>
      </c>
      <c r="H16" s="22" t="n">
        <f aca="false">IF(G16="","",Setup!G14)</f>
        <v>160</v>
      </c>
      <c r="I16" s="22" t="n">
        <f aca="false">IF(G16="","",SUMIFS($E$7:$E$86,$D$7:$D$86,G16))</f>
        <v>0</v>
      </c>
      <c r="J16" s="22" t="n">
        <f aca="false">IF(G16="","",H16-I16)</f>
        <v>160</v>
      </c>
      <c r="K16" s="32" t="n">
        <f aca="false">IF(OR(G16="",H16=0),"",I16/H16)</f>
        <v>0</v>
      </c>
      <c r="L16" s="33" t="str">
        <f aca="false">IF(K16="","",REPT("█",ROUND(MIN(1,MAX(0,K16))*10,0))&amp;REPT("░",10-ROUND(MIN(1,MAX(0,K16))*10,0)))</f>
        <v>░░░░░░░░░░</v>
      </c>
    </row>
    <row r="17" customFormat="false" ht="19.5" hidden="false" customHeight="true" outlineLevel="0" collapsed="false">
      <c r="B17" s="29"/>
      <c r="C17" s="30"/>
      <c r="D17" s="17"/>
      <c r="E17" s="26"/>
      <c r="G17" s="11" t="str">
        <f aca="false">IF(Setup!E15="","",Setup!E15)</f>
        <v>Phone and internet</v>
      </c>
      <c r="H17" s="22" t="n">
        <f aca="false">IF(G17="","",Setup!G15)</f>
        <v>95</v>
      </c>
      <c r="I17" s="22" t="n">
        <f aca="false">IF(G17="","",SUMIFS($E$7:$E$86,$D$7:$D$86,G17))</f>
        <v>0</v>
      </c>
      <c r="J17" s="22" t="n">
        <f aca="false">IF(G17="","",H17-I17)</f>
        <v>95</v>
      </c>
      <c r="K17" s="32" t="n">
        <f aca="false">IF(OR(G17="",H17=0),"",I17/H17)</f>
        <v>0</v>
      </c>
      <c r="L17" s="33" t="str">
        <f aca="false">IF(K17="","",REPT("█",ROUND(MIN(1,MAX(0,K17))*10,0))&amp;REPT("░",10-ROUND(MIN(1,MAX(0,K17))*10,0)))</f>
        <v>░░░░░░░░░░</v>
      </c>
    </row>
    <row r="18" customFormat="false" ht="19.5" hidden="false" customHeight="true" outlineLevel="0" collapsed="false">
      <c r="B18" s="29"/>
      <c r="C18" s="30"/>
      <c r="D18" s="17"/>
      <c r="E18" s="26"/>
      <c r="G18" s="11" t="str">
        <f aca="false">IF(Setup!E16="","",Setup!E16)</f>
        <v>Medical</v>
      </c>
      <c r="H18" s="22" t="n">
        <f aca="false">IF(G18="","",Setup!G16)</f>
        <v>60</v>
      </c>
      <c r="I18" s="22" t="n">
        <f aca="false">IF(G18="","",SUMIFS($E$7:$E$86,$D$7:$D$86,G18))</f>
        <v>0</v>
      </c>
      <c r="J18" s="22" t="n">
        <f aca="false">IF(G18="","",H18-I18)</f>
        <v>60</v>
      </c>
      <c r="K18" s="32" t="n">
        <f aca="false">IF(OR(G18="",H18=0),"",I18/H18)</f>
        <v>0</v>
      </c>
      <c r="L18" s="33" t="str">
        <f aca="false">IF(K18="","",REPT("█",ROUND(MIN(1,MAX(0,K18))*10,0))&amp;REPT("░",10-ROUND(MIN(1,MAX(0,K18))*10,0)))</f>
        <v>░░░░░░░░░░</v>
      </c>
    </row>
    <row r="19" customFormat="false" ht="19.5" hidden="false" customHeight="true" outlineLevel="0" collapsed="false">
      <c r="B19" s="29"/>
      <c r="C19" s="30"/>
      <c r="D19" s="17"/>
      <c r="E19" s="26"/>
      <c r="G19" s="11" t="str">
        <f aca="false">IF(Setup!E17="","",Setup!E17)</f>
        <v>Eating out</v>
      </c>
      <c r="H19" s="22" t="n">
        <f aca="false">IF(G19="","",Setup!G17)</f>
        <v>150</v>
      </c>
      <c r="I19" s="22" t="n">
        <f aca="false">IF(G19="","",SUMIFS($E$7:$E$86,$D$7:$D$86,G19))</f>
        <v>0</v>
      </c>
      <c r="J19" s="22" t="n">
        <f aca="false">IF(G19="","",H19-I19)</f>
        <v>150</v>
      </c>
      <c r="K19" s="32" t="n">
        <f aca="false">IF(OR(G19="",H19=0),"",I19/H19)</f>
        <v>0</v>
      </c>
      <c r="L19" s="33" t="str">
        <f aca="false">IF(K19="","",REPT("█",ROUND(MIN(1,MAX(0,K19))*10,0))&amp;REPT("░",10-ROUND(MIN(1,MAX(0,K19))*10,0)))</f>
        <v>░░░░░░░░░░</v>
      </c>
    </row>
    <row r="20" customFormat="false" ht="19.5" hidden="false" customHeight="true" outlineLevel="0" collapsed="false">
      <c r="B20" s="29"/>
      <c r="C20" s="30"/>
      <c r="D20" s="17"/>
      <c r="E20" s="26"/>
      <c r="G20" s="11" t="str">
        <f aca="false">IF(Setup!E18="","",Setup!E18)</f>
        <v>Shopping</v>
      </c>
      <c r="H20" s="22" t="n">
        <f aca="false">IF(G20="","",Setup!G18)</f>
        <v>120</v>
      </c>
      <c r="I20" s="22" t="n">
        <f aca="false">IF(G20="","",SUMIFS($E$7:$E$86,$D$7:$D$86,G20))</f>
        <v>0</v>
      </c>
      <c r="J20" s="22" t="n">
        <f aca="false">IF(G20="","",H20-I20)</f>
        <v>120</v>
      </c>
      <c r="K20" s="32" t="n">
        <f aca="false">IF(OR(G20="",H20=0),"",I20/H20)</f>
        <v>0</v>
      </c>
      <c r="L20" s="33" t="str">
        <f aca="false">IF(K20="","",REPT("█",ROUND(MIN(1,MAX(0,K20))*10,0))&amp;REPT("░",10-ROUND(MIN(1,MAX(0,K20))*10,0)))</f>
        <v>░░░░░░░░░░</v>
      </c>
    </row>
    <row r="21" customFormat="false" ht="19.5" hidden="false" customHeight="true" outlineLevel="0" collapsed="false">
      <c r="B21" s="29"/>
      <c r="C21" s="30"/>
      <c r="D21" s="17"/>
      <c r="E21" s="26"/>
      <c r="G21" s="11" t="str">
        <f aca="false">IF(Setup!E19="","",Setup!E19)</f>
        <v>Subscriptions</v>
      </c>
      <c r="H21" s="22" t="n">
        <f aca="false">IF(G21="","",Setup!G19)</f>
        <v>45</v>
      </c>
      <c r="I21" s="22" t="n">
        <f aca="false">IF(G21="","",SUMIFS($E$7:$E$86,$D$7:$D$86,G21))</f>
        <v>0</v>
      </c>
      <c r="J21" s="22" t="n">
        <f aca="false">IF(G21="","",H21-I21)</f>
        <v>45</v>
      </c>
      <c r="K21" s="32" t="n">
        <f aca="false">IF(OR(G21="",H21=0),"",I21/H21)</f>
        <v>0</v>
      </c>
      <c r="L21" s="33" t="str">
        <f aca="false">IF(K21="","",REPT("█",ROUND(MIN(1,MAX(0,K21))*10,0))&amp;REPT("░",10-ROUND(MIN(1,MAX(0,K21))*10,0)))</f>
        <v>░░░░░░░░░░</v>
      </c>
    </row>
    <row r="22" customFormat="false" ht="19.5" hidden="false" customHeight="true" outlineLevel="0" collapsed="false">
      <c r="B22" s="29"/>
      <c r="C22" s="30"/>
      <c r="D22" s="17"/>
      <c r="E22" s="26"/>
      <c r="G22" s="11" t="str">
        <f aca="false">IF(Setup!E20="","",Setup!E20)</f>
        <v>Fun</v>
      </c>
      <c r="H22" s="22" t="n">
        <f aca="false">IF(G22="","",Setup!G20)</f>
        <v>100</v>
      </c>
      <c r="I22" s="22" t="n">
        <f aca="false">IF(G22="","",SUMIFS($E$7:$E$86,$D$7:$D$86,G22))</f>
        <v>0</v>
      </c>
      <c r="J22" s="22" t="n">
        <f aca="false">IF(G22="","",H22-I22)</f>
        <v>100</v>
      </c>
      <c r="K22" s="32" t="n">
        <f aca="false">IF(OR(G22="",H22=0),"",I22/H22)</f>
        <v>0</v>
      </c>
      <c r="L22" s="33" t="str">
        <f aca="false">IF(K22="","",REPT("█",ROUND(MIN(1,MAX(0,K22))*10,0))&amp;REPT("░",10-ROUND(MIN(1,MAX(0,K22))*10,0)))</f>
        <v>░░░░░░░░░░</v>
      </c>
    </row>
    <row r="23" customFormat="false" ht="19.5" hidden="false" customHeight="true" outlineLevel="0" collapsed="false">
      <c r="B23" s="29"/>
      <c r="C23" s="30"/>
      <c r="D23" s="17"/>
      <c r="E23" s="26"/>
      <c r="G23" s="11" t="str">
        <f aca="false">IF(Setup!E21="","",Setup!E21)</f>
        <v>Gifts</v>
      </c>
      <c r="H23" s="22" t="n">
        <f aca="false">IF(G23="","",Setup!G21)</f>
        <v>40</v>
      </c>
      <c r="I23" s="22" t="n">
        <f aca="false">IF(G23="","",SUMIFS($E$7:$E$86,$D$7:$D$86,G23))</f>
        <v>0</v>
      </c>
      <c r="J23" s="22" t="n">
        <f aca="false">IF(G23="","",H23-I23)</f>
        <v>40</v>
      </c>
      <c r="K23" s="32" t="n">
        <f aca="false">IF(OR(G23="",H23=0),"",I23/H23)</f>
        <v>0</v>
      </c>
      <c r="L23" s="33" t="str">
        <f aca="false">IF(K23="","",REPT("█",ROUND(MIN(1,MAX(0,K23))*10,0))&amp;REPT("░",10-ROUND(MIN(1,MAX(0,K23))*10,0)))</f>
        <v>░░░░░░░░░░</v>
      </c>
    </row>
    <row r="24" customFormat="false" ht="19.5" hidden="false" customHeight="true" outlineLevel="0" collapsed="false">
      <c r="B24" s="29"/>
      <c r="C24" s="30"/>
      <c r="D24" s="17"/>
      <c r="E24" s="26"/>
      <c r="G24" s="11" t="str">
        <f aca="false">IF(Setup!E22="","",Setup!E22)</f>
        <v>Personal care</v>
      </c>
      <c r="H24" s="22" t="n">
        <f aca="false">IF(G24="","",Setup!G22)</f>
        <v>50</v>
      </c>
      <c r="I24" s="22" t="n">
        <f aca="false">IF(G24="","",SUMIFS($E$7:$E$86,$D$7:$D$86,G24))</f>
        <v>0</v>
      </c>
      <c r="J24" s="22" t="n">
        <f aca="false">IF(G24="","",H24-I24)</f>
        <v>50</v>
      </c>
      <c r="K24" s="32" t="n">
        <f aca="false">IF(OR(G24="",H24=0),"",I24/H24)</f>
        <v>0</v>
      </c>
      <c r="L24" s="33" t="str">
        <f aca="false">IF(K24="","",REPT("█",ROUND(MIN(1,MAX(0,K24))*10,0))&amp;REPT("░",10-ROUND(MIN(1,MAX(0,K24))*10,0)))</f>
        <v>░░░░░░░░░░</v>
      </c>
    </row>
    <row r="25" customFormat="false" ht="19.5" hidden="false" customHeight="true" outlineLevel="0" collapsed="false">
      <c r="B25" s="29"/>
      <c r="C25" s="30"/>
      <c r="D25" s="17"/>
      <c r="E25" s="26"/>
      <c r="G25" s="11" t="str">
        <f aca="false">IF(Setup!E23="","",Setup!E23)</f>
        <v>Emergency fund</v>
      </c>
      <c r="H25" s="22" t="n">
        <f aca="false">IF(G25="","",Setup!G23)</f>
        <v>200</v>
      </c>
      <c r="I25" s="22" t="n">
        <f aca="false">IF(G25="","",SUMIFS($E$7:$E$86,$D$7:$D$86,G25))</f>
        <v>0</v>
      </c>
      <c r="J25" s="22" t="n">
        <f aca="false">IF(G25="","",H25-I25)</f>
        <v>200</v>
      </c>
      <c r="K25" s="32" t="n">
        <f aca="false">IF(OR(G25="",H25=0),"",I25/H25)</f>
        <v>0</v>
      </c>
      <c r="L25" s="33" t="str">
        <f aca="false">IF(K25="","",REPT("█",ROUND(MIN(1,MAX(0,K25))*10,0))&amp;REPT("░",10-ROUND(MIN(1,MAX(0,K25))*10,0)))</f>
        <v>░░░░░░░░░░</v>
      </c>
    </row>
    <row r="26" customFormat="false" ht="19.5" hidden="false" customHeight="true" outlineLevel="0" collapsed="false">
      <c r="B26" s="29"/>
      <c r="C26" s="30"/>
      <c r="D26" s="17"/>
      <c r="E26" s="26"/>
      <c r="G26" s="11" t="str">
        <f aca="false">IF(Setup!E24="","",Setup!E24)</f>
        <v>Sinking funds</v>
      </c>
      <c r="H26" s="22" t="n">
        <f aca="false">IF(G26="","",Setup!G24)</f>
        <v>100</v>
      </c>
      <c r="I26" s="22" t="n">
        <f aca="false">IF(G26="","",SUMIFS($E$7:$E$86,$D$7:$D$86,G26))</f>
        <v>0</v>
      </c>
      <c r="J26" s="22" t="n">
        <f aca="false">IF(G26="","",H26-I26)</f>
        <v>100</v>
      </c>
      <c r="K26" s="32" t="n">
        <f aca="false">IF(OR(G26="",H26=0),"",I26/H26)</f>
        <v>0</v>
      </c>
      <c r="L26" s="33" t="str">
        <f aca="false">IF(K26="","",REPT("█",ROUND(MIN(1,MAX(0,K26))*10,0))&amp;REPT("░",10-ROUND(MIN(1,MAX(0,K26))*10,0)))</f>
        <v>░░░░░░░░░░</v>
      </c>
    </row>
    <row r="27" customFormat="false" ht="19.5" hidden="false" customHeight="true" outlineLevel="0" collapsed="false">
      <c r="B27" s="29"/>
      <c r="C27" s="30"/>
      <c r="D27" s="17"/>
      <c r="E27" s="26"/>
      <c r="G27" s="11" t="str">
        <f aca="false">IF(Setup!E25="","",Setup!E25)</f>
        <v>Retirement</v>
      </c>
      <c r="H27" s="22" t="n">
        <f aca="false">IF(G27="","",Setup!G25)</f>
        <v>150</v>
      </c>
      <c r="I27" s="22" t="n">
        <f aca="false">IF(G27="","",SUMIFS($E$7:$E$86,$D$7:$D$86,G27))</f>
        <v>0</v>
      </c>
      <c r="J27" s="22" t="n">
        <f aca="false">IF(G27="","",H27-I27)</f>
        <v>150</v>
      </c>
      <c r="K27" s="32" t="n">
        <f aca="false">IF(OR(G27="",H27=0),"",I27/H27)</f>
        <v>0</v>
      </c>
      <c r="L27" s="33" t="str">
        <f aca="false">IF(K27="","",REPT("█",ROUND(MIN(1,MAX(0,K27))*10,0))&amp;REPT("░",10-ROUND(MIN(1,MAX(0,K27))*10,0)))</f>
        <v>░░░░░░░░░░</v>
      </c>
    </row>
    <row r="28" customFormat="false" ht="19.5" hidden="false" customHeight="true" outlineLevel="0" collapsed="false">
      <c r="B28" s="29"/>
      <c r="C28" s="30"/>
      <c r="D28" s="17"/>
      <c r="E28" s="26"/>
      <c r="G28" s="11" t="str">
        <f aca="false">IF(Setup!E26="","",Setup!E26)</f>
        <v>Credit card</v>
      </c>
      <c r="H28" s="22" t="n">
        <f aca="false">IF(G28="","",Setup!G26)</f>
        <v>150</v>
      </c>
      <c r="I28" s="22" t="n">
        <f aca="false">IF(G28="","",SUMIFS($E$7:$E$86,$D$7:$D$86,G28))</f>
        <v>0</v>
      </c>
      <c r="J28" s="22" t="n">
        <f aca="false">IF(G28="","",H28-I28)</f>
        <v>150</v>
      </c>
      <c r="K28" s="32" t="n">
        <f aca="false">IF(OR(G28="",H28=0),"",I28/H28)</f>
        <v>0</v>
      </c>
      <c r="L28" s="33" t="str">
        <f aca="false">IF(K28="","",REPT("█",ROUND(MIN(1,MAX(0,K28))*10,0))&amp;REPT("░",10-ROUND(MIN(1,MAX(0,K28))*10,0)))</f>
        <v>░░░░░░░░░░</v>
      </c>
    </row>
    <row r="29" customFormat="false" ht="19.5" hidden="false" customHeight="true" outlineLevel="0" collapsed="false">
      <c r="B29" s="29"/>
      <c r="C29" s="30"/>
      <c r="D29" s="17"/>
      <c r="E29" s="26"/>
      <c r="G29" s="11" t="str">
        <f aca="false">IF(Setup!E27="","",Setup!E27)</f>
        <v>Student loan</v>
      </c>
      <c r="H29" s="22" t="n">
        <f aca="false">IF(G29="","",Setup!G27)</f>
        <v>180</v>
      </c>
      <c r="I29" s="22" t="n">
        <f aca="false">IF(G29="","",SUMIFS($E$7:$E$86,$D$7:$D$86,G29))</f>
        <v>0</v>
      </c>
      <c r="J29" s="22" t="n">
        <f aca="false">IF(G29="","",H29-I29)</f>
        <v>180</v>
      </c>
      <c r="K29" s="32" t="n">
        <f aca="false">IF(OR(G29="",H29=0),"",I29/H29)</f>
        <v>0</v>
      </c>
      <c r="L29" s="33" t="str">
        <f aca="false">IF(K29="","",REPT("█",ROUND(MIN(1,MAX(0,K29))*10,0))&amp;REPT("░",10-ROUND(MIN(1,MAX(0,K29))*10,0)))</f>
        <v>░░░░░░░░░░</v>
      </c>
    </row>
    <row r="30" customFormat="false" ht="19.5" hidden="false" customHeight="true" outlineLevel="0" collapsed="false">
      <c r="B30" s="29"/>
      <c r="C30" s="30"/>
      <c r="D30" s="17"/>
      <c r="E30" s="26"/>
      <c r="G30" s="11" t="str">
        <f aca="false">IF(Setup!E28="","",Setup!E28)</f>
        <v/>
      </c>
      <c r="H30" s="22" t="str">
        <f aca="false">IF(G30="","",Setup!G28)</f>
        <v/>
      </c>
      <c r="I30" s="22" t="str">
        <f aca="false">IF(G30="","",SUMIFS($E$7:$E$86,$D$7:$D$86,G30))</f>
        <v/>
      </c>
      <c r="J30" s="22" t="str">
        <f aca="false">IF(G30="","",H30-I30)</f>
        <v/>
      </c>
      <c r="K30" s="32" t="str">
        <f aca="false">IF(OR(G30="",H30=0),"",I30/H30)</f>
        <v/>
      </c>
      <c r="L30" s="33" t="str">
        <f aca="false">IF(K30="","",REPT("█",ROUND(MIN(1,MAX(0,K30))*10,0))&amp;REPT("░",10-ROUND(MIN(1,MAX(0,K30))*10,0)))</f>
        <v/>
      </c>
    </row>
    <row r="31" customFormat="false" ht="19.5" hidden="false" customHeight="true" outlineLevel="0" collapsed="false">
      <c r="B31" s="29"/>
      <c r="C31" s="30"/>
      <c r="D31" s="17"/>
      <c r="E31" s="26"/>
      <c r="G31" s="11" t="str">
        <f aca="false">IF(Setup!E29="","",Setup!E29)</f>
        <v/>
      </c>
      <c r="H31" s="22" t="str">
        <f aca="false">IF(G31="","",Setup!G29)</f>
        <v/>
      </c>
      <c r="I31" s="22" t="str">
        <f aca="false">IF(G31="","",SUMIFS($E$7:$E$86,$D$7:$D$86,G31))</f>
        <v/>
      </c>
      <c r="J31" s="22" t="str">
        <f aca="false">IF(G31="","",H31-I31)</f>
        <v/>
      </c>
      <c r="K31" s="32" t="str">
        <f aca="false">IF(OR(G31="",H31=0),"",I31/H31)</f>
        <v/>
      </c>
      <c r="L31" s="33" t="str">
        <f aca="false">IF(K31="","",REPT("█",ROUND(MIN(1,MAX(0,K31))*10,0))&amp;REPT("░",10-ROUND(MIN(1,MAX(0,K31))*10,0)))</f>
        <v/>
      </c>
    </row>
    <row r="32" customFormat="false" ht="19.5" hidden="false" customHeight="true" outlineLevel="0" collapsed="false">
      <c r="B32" s="29"/>
      <c r="C32" s="30"/>
      <c r="D32" s="17"/>
      <c r="E32" s="26"/>
      <c r="G32" s="11" t="str">
        <f aca="false">IF(Setup!E30="","",Setup!E30)</f>
        <v/>
      </c>
      <c r="H32" s="22" t="str">
        <f aca="false">IF(G32="","",Setup!G30)</f>
        <v/>
      </c>
      <c r="I32" s="22" t="str">
        <f aca="false">IF(G32="","",SUMIFS($E$7:$E$86,$D$7:$D$86,G32))</f>
        <v/>
      </c>
      <c r="J32" s="22" t="str">
        <f aca="false">IF(G32="","",H32-I32)</f>
        <v/>
      </c>
      <c r="K32" s="32" t="str">
        <f aca="false">IF(OR(G32="",H32=0),"",I32/H32)</f>
        <v/>
      </c>
      <c r="L32" s="33" t="str">
        <f aca="false">IF(K32="","",REPT("█",ROUND(MIN(1,MAX(0,K32))*10,0))&amp;REPT("░",10-ROUND(MIN(1,MAX(0,K32))*10,0)))</f>
        <v/>
      </c>
    </row>
    <row r="33" customFormat="false" ht="19.5" hidden="false" customHeight="true" outlineLevel="0" collapsed="false">
      <c r="B33" s="29"/>
      <c r="C33" s="30"/>
      <c r="D33" s="17"/>
      <c r="E33" s="26"/>
      <c r="G33" s="11" t="str">
        <f aca="false">IF(Setup!E31="","",Setup!E31)</f>
        <v/>
      </c>
      <c r="H33" s="22" t="str">
        <f aca="false">IF(G33="","",Setup!G31)</f>
        <v/>
      </c>
      <c r="I33" s="22" t="str">
        <f aca="false">IF(G33="","",SUMIFS($E$7:$E$86,$D$7:$D$86,G33))</f>
        <v/>
      </c>
      <c r="J33" s="22" t="str">
        <f aca="false">IF(G33="","",H33-I33)</f>
        <v/>
      </c>
      <c r="K33" s="32" t="str">
        <f aca="false">IF(OR(G33="",H33=0),"",I33/H33)</f>
        <v/>
      </c>
      <c r="L33" s="33" t="str">
        <f aca="false">IF(K33="","",REPT("█",ROUND(MIN(1,MAX(0,K33))*10,0))&amp;REPT("░",10-ROUND(MIN(1,MAX(0,K33))*10,0)))</f>
        <v/>
      </c>
    </row>
    <row r="34" customFormat="false" ht="19.5" hidden="false" customHeight="true" outlineLevel="0" collapsed="false">
      <c r="B34" s="29"/>
      <c r="C34" s="30"/>
      <c r="D34" s="17"/>
      <c r="E34" s="26"/>
      <c r="G34" s="11" t="str">
        <f aca="false">IF(Setup!E32="","",Setup!E32)</f>
        <v/>
      </c>
      <c r="H34" s="22" t="str">
        <f aca="false">IF(G34="","",Setup!G32)</f>
        <v/>
      </c>
      <c r="I34" s="22" t="str">
        <f aca="false">IF(G34="","",SUMIFS($E$7:$E$86,$D$7:$D$86,G34))</f>
        <v/>
      </c>
      <c r="J34" s="22" t="str">
        <f aca="false">IF(G34="","",H34-I34)</f>
        <v/>
      </c>
      <c r="K34" s="32" t="str">
        <f aca="false">IF(OR(G34="",H34=0),"",I34/H34)</f>
        <v/>
      </c>
      <c r="L34" s="33" t="str">
        <f aca="false">IF(K34="","",REPT("█",ROUND(MIN(1,MAX(0,K34))*10,0))&amp;REPT("░",10-ROUND(MIN(1,MAX(0,K34))*10,0)))</f>
        <v/>
      </c>
    </row>
    <row r="35" customFormat="false" ht="19.5" hidden="false" customHeight="true" outlineLevel="0" collapsed="false">
      <c r="B35" s="29"/>
      <c r="C35" s="30"/>
      <c r="D35" s="17"/>
      <c r="E35" s="26"/>
      <c r="G35" s="11" t="str">
        <f aca="false">IF(Setup!E33="","",Setup!E33)</f>
        <v/>
      </c>
      <c r="H35" s="22" t="str">
        <f aca="false">IF(G35="","",Setup!G33)</f>
        <v/>
      </c>
      <c r="I35" s="22" t="str">
        <f aca="false">IF(G35="","",SUMIFS($E$7:$E$86,$D$7:$D$86,G35))</f>
        <v/>
      </c>
      <c r="J35" s="22" t="str">
        <f aca="false">IF(G35="","",H35-I35)</f>
        <v/>
      </c>
      <c r="K35" s="32" t="str">
        <f aca="false">IF(OR(G35="",H35=0),"",I35/H35)</f>
        <v/>
      </c>
      <c r="L35" s="33" t="str">
        <f aca="false">IF(K35="","",REPT("█",ROUND(MIN(1,MAX(0,K35))*10,0))&amp;REPT("░",10-ROUND(MIN(1,MAX(0,K35))*10,0)))</f>
        <v/>
      </c>
    </row>
    <row r="36" customFormat="false" ht="19.5" hidden="false" customHeight="true" outlineLevel="0" collapsed="false">
      <c r="B36" s="29"/>
      <c r="C36" s="30"/>
      <c r="D36" s="17"/>
      <c r="E36" s="26"/>
      <c r="G36" s="11" t="str">
        <f aca="false">IF(Setup!E34="","",Setup!E34)</f>
        <v/>
      </c>
      <c r="H36" s="22" t="str">
        <f aca="false">IF(G36="","",Setup!G34)</f>
        <v/>
      </c>
      <c r="I36" s="22" t="str">
        <f aca="false">IF(G36="","",SUMIFS($E$7:$E$86,$D$7:$D$86,G36))</f>
        <v/>
      </c>
      <c r="J36" s="22" t="str">
        <f aca="false">IF(G36="","",H36-I36)</f>
        <v/>
      </c>
      <c r="K36" s="32" t="str">
        <f aca="false">IF(OR(G36="",H36=0),"",I36/H36)</f>
        <v/>
      </c>
      <c r="L36" s="33" t="str">
        <f aca="false">IF(K36="","",REPT("█",ROUND(MIN(1,MAX(0,K36))*10,0))&amp;REPT("░",10-ROUND(MIN(1,MAX(0,K36))*10,0)))</f>
        <v/>
      </c>
    </row>
    <row r="37" customFormat="false" ht="19.5" hidden="false" customHeight="true" outlineLevel="0" collapsed="false">
      <c r="B37" s="29"/>
      <c r="C37" s="30"/>
      <c r="D37" s="17"/>
      <c r="E37" s="26"/>
      <c r="G37" s="11" t="str">
        <f aca="false">IF(Setup!E35="","",Setup!E35)</f>
        <v/>
      </c>
      <c r="H37" s="22" t="str">
        <f aca="false">IF(G37="","",Setup!G35)</f>
        <v/>
      </c>
      <c r="I37" s="22" t="str">
        <f aca="false">IF(G37="","",SUMIFS($E$7:$E$86,$D$7:$D$86,G37))</f>
        <v/>
      </c>
      <c r="J37" s="22" t="str">
        <f aca="false">IF(G37="","",H37-I37)</f>
        <v/>
      </c>
      <c r="K37" s="32" t="str">
        <f aca="false">IF(OR(G37="",H37=0),"",I37/H37)</f>
        <v/>
      </c>
      <c r="L37" s="33" t="str">
        <f aca="false">IF(K37="","",REPT("█",ROUND(MIN(1,MAX(0,K37))*10,0))&amp;REPT("░",10-ROUND(MIN(1,MAX(0,K37))*10,0)))</f>
        <v/>
      </c>
    </row>
    <row r="38" customFormat="false" ht="19.5" hidden="false" customHeight="true" outlineLevel="0" collapsed="false">
      <c r="B38" s="29"/>
      <c r="C38" s="30"/>
      <c r="D38" s="17"/>
      <c r="E38" s="26"/>
      <c r="G38" s="11" t="str">
        <f aca="false">IF(Setup!E36="","",Setup!E36)</f>
        <v/>
      </c>
      <c r="H38" s="22" t="str">
        <f aca="false">IF(G38="","",Setup!G36)</f>
        <v/>
      </c>
      <c r="I38" s="22" t="str">
        <f aca="false">IF(G38="","",SUMIFS($E$7:$E$86,$D$7:$D$86,G38))</f>
        <v/>
      </c>
      <c r="J38" s="22" t="str">
        <f aca="false">IF(G38="","",H38-I38)</f>
        <v/>
      </c>
      <c r="K38" s="32" t="str">
        <f aca="false">IF(OR(G38="",H38=0),"",I38/H38)</f>
        <v/>
      </c>
      <c r="L38" s="33" t="str">
        <f aca="false">IF(K38="","",REPT("█",ROUND(MIN(1,MAX(0,K38))*10,0))&amp;REPT("░",10-ROUND(MIN(1,MAX(0,K38))*10,0)))</f>
        <v/>
      </c>
    </row>
    <row r="39" customFormat="false" ht="19.5" hidden="false" customHeight="true" outlineLevel="0" collapsed="false">
      <c r="B39" s="29"/>
      <c r="C39" s="30"/>
      <c r="D39" s="17"/>
      <c r="E39" s="26"/>
      <c r="G39" s="11" t="str">
        <f aca="false">IF(Setup!E37="","",Setup!E37)</f>
        <v/>
      </c>
      <c r="H39" s="22" t="str">
        <f aca="false">IF(G39="","",Setup!G37)</f>
        <v/>
      </c>
      <c r="I39" s="22" t="str">
        <f aca="false">IF(G39="","",SUMIFS($E$7:$E$86,$D$7:$D$86,G39))</f>
        <v/>
      </c>
      <c r="J39" s="22" t="str">
        <f aca="false">IF(G39="","",H39-I39)</f>
        <v/>
      </c>
      <c r="K39" s="32" t="str">
        <f aca="false">IF(OR(G39="",H39=0),"",I39/H39)</f>
        <v/>
      </c>
      <c r="L39" s="33" t="str">
        <f aca="false">IF(K39="","",REPT("█",ROUND(MIN(1,MAX(0,K39))*10,0))&amp;REPT("░",10-ROUND(MIN(1,MAX(0,K39))*10,0)))</f>
        <v/>
      </c>
    </row>
    <row r="40" customFormat="false" ht="19.5" hidden="false" customHeight="true" outlineLevel="0" collapsed="false">
      <c r="B40" s="29"/>
      <c r="C40" s="30"/>
      <c r="D40" s="17"/>
      <c r="E40" s="26"/>
      <c r="G40" s="11" t="str">
        <f aca="false">IF(Setup!E38="","",Setup!E38)</f>
        <v/>
      </c>
      <c r="H40" s="22" t="str">
        <f aca="false">IF(G40="","",Setup!G38)</f>
        <v/>
      </c>
      <c r="I40" s="22" t="str">
        <f aca="false">IF(G40="","",SUMIFS($E$7:$E$86,$D$7:$D$86,G40))</f>
        <v/>
      </c>
      <c r="J40" s="22" t="str">
        <f aca="false">IF(G40="","",H40-I40)</f>
        <v/>
      </c>
      <c r="K40" s="32" t="str">
        <f aca="false">IF(OR(G40="",H40=0),"",I40/H40)</f>
        <v/>
      </c>
      <c r="L40" s="33" t="str">
        <f aca="false">IF(K40="","",REPT("█",ROUND(MIN(1,MAX(0,K40))*10,0))&amp;REPT("░",10-ROUND(MIN(1,MAX(0,K40))*10,0)))</f>
        <v/>
      </c>
    </row>
    <row r="41" customFormat="false" ht="19.5" hidden="false" customHeight="true" outlineLevel="0" collapsed="false">
      <c r="B41" s="29"/>
      <c r="C41" s="30"/>
      <c r="D41" s="17"/>
      <c r="E41" s="26"/>
      <c r="G41" s="11" t="str">
        <f aca="false">IF(Setup!E39="","",Setup!E39)</f>
        <v/>
      </c>
      <c r="H41" s="22" t="str">
        <f aca="false">IF(G41="","",Setup!G39)</f>
        <v/>
      </c>
      <c r="I41" s="22" t="str">
        <f aca="false">IF(G41="","",SUMIFS($E$7:$E$86,$D$7:$D$86,G41))</f>
        <v/>
      </c>
      <c r="J41" s="22" t="str">
        <f aca="false">IF(G41="","",H41-I41)</f>
        <v/>
      </c>
      <c r="K41" s="32" t="str">
        <f aca="false">IF(OR(G41="",H41=0),"",I41/H41)</f>
        <v/>
      </c>
      <c r="L41" s="33" t="str">
        <f aca="false">IF(K41="","",REPT("█",ROUND(MIN(1,MAX(0,K41))*10,0))&amp;REPT("░",10-ROUND(MIN(1,MAX(0,K41))*10,0)))</f>
        <v/>
      </c>
    </row>
    <row r="42" customFormat="false" ht="19.5" hidden="false" customHeight="true" outlineLevel="0" collapsed="false">
      <c r="B42" s="29"/>
      <c r="C42" s="30"/>
      <c r="D42" s="17"/>
      <c r="E42" s="26"/>
    </row>
    <row r="43" customFormat="false" ht="19.5" hidden="false" customHeight="true" outlineLevel="0" collapsed="false">
      <c r="B43" s="29"/>
      <c r="C43" s="30"/>
      <c r="D43" s="17"/>
      <c r="E43" s="26"/>
    </row>
    <row r="44" customFormat="false" ht="19.5" hidden="false" customHeight="true" outlineLevel="0" collapsed="false">
      <c r="B44" s="29"/>
      <c r="C44" s="30"/>
      <c r="D44" s="17"/>
      <c r="E44" s="26"/>
    </row>
    <row r="45" customFormat="false" ht="19.5" hidden="false" customHeight="true" outlineLevel="0" collapsed="false">
      <c r="B45" s="29"/>
      <c r="C45" s="30"/>
      <c r="D45" s="17"/>
      <c r="E45" s="26"/>
    </row>
    <row r="46" customFormat="false" ht="19.5" hidden="false" customHeight="true" outlineLevel="0" collapsed="false">
      <c r="B46" s="29"/>
      <c r="C46" s="30"/>
      <c r="D46" s="17"/>
      <c r="E46" s="26"/>
    </row>
    <row r="47" customFormat="false" ht="19.5" hidden="false" customHeight="true" outlineLevel="0" collapsed="false">
      <c r="B47" s="29"/>
      <c r="C47" s="30"/>
      <c r="D47" s="17"/>
      <c r="E47" s="26"/>
    </row>
    <row r="48" customFormat="false" ht="19.5" hidden="false" customHeight="true" outlineLevel="0" collapsed="false">
      <c r="B48" s="29"/>
      <c r="C48" s="30"/>
      <c r="D48" s="17"/>
      <c r="E48" s="26"/>
    </row>
    <row r="49" customFormat="false" ht="19.5" hidden="false" customHeight="true" outlineLevel="0" collapsed="false">
      <c r="B49" s="29"/>
      <c r="C49" s="30"/>
      <c r="D49" s="17"/>
      <c r="E49" s="26"/>
    </row>
    <row r="50" customFormat="false" ht="19.5" hidden="false" customHeight="true" outlineLevel="0" collapsed="false">
      <c r="B50" s="29"/>
      <c r="C50" s="30"/>
      <c r="D50" s="17"/>
      <c r="E50" s="26"/>
    </row>
    <row r="51" customFormat="false" ht="19.5" hidden="false" customHeight="true" outlineLevel="0" collapsed="false">
      <c r="B51" s="29"/>
      <c r="C51" s="30"/>
      <c r="D51" s="17"/>
      <c r="E51" s="26"/>
    </row>
    <row r="52" customFormat="false" ht="19.5" hidden="false" customHeight="true" outlineLevel="0" collapsed="false">
      <c r="B52" s="29"/>
      <c r="C52" s="30"/>
      <c r="D52" s="17"/>
      <c r="E52" s="26"/>
    </row>
    <row r="53" customFormat="false" ht="19.5" hidden="false" customHeight="true" outlineLevel="0" collapsed="false">
      <c r="B53" s="29"/>
      <c r="C53" s="30"/>
      <c r="D53" s="17"/>
      <c r="E53" s="26"/>
    </row>
    <row r="54" customFormat="false" ht="19.5" hidden="false" customHeight="true" outlineLevel="0" collapsed="false">
      <c r="B54" s="29"/>
      <c r="C54" s="30"/>
      <c r="D54" s="17"/>
      <c r="E54" s="26"/>
    </row>
    <row r="55" customFormat="false" ht="19.5" hidden="false" customHeight="true" outlineLevel="0" collapsed="false">
      <c r="B55" s="29"/>
      <c r="C55" s="30"/>
      <c r="D55" s="17"/>
      <c r="E55" s="26"/>
    </row>
    <row r="56" customFormat="false" ht="19.5" hidden="false" customHeight="true" outlineLevel="0" collapsed="false">
      <c r="B56" s="29"/>
      <c r="C56" s="30"/>
      <c r="D56" s="17"/>
      <c r="E56" s="26"/>
    </row>
    <row r="57" customFormat="false" ht="19.5" hidden="false" customHeight="true" outlineLevel="0" collapsed="false">
      <c r="B57" s="29"/>
      <c r="C57" s="30"/>
      <c r="D57" s="17"/>
      <c r="E57" s="26"/>
    </row>
    <row r="58" customFormat="false" ht="19.5" hidden="false" customHeight="true" outlineLevel="0" collapsed="false">
      <c r="B58" s="29"/>
      <c r="C58" s="30"/>
      <c r="D58" s="17"/>
      <c r="E58" s="26"/>
    </row>
    <row r="59" customFormat="false" ht="19.5" hidden="false" customHeight="true" outlineLevel="0" collapsed="false">
      <c r="B59" s="29"/>
      <c r="C59" s="30"/>
      <c r="D59" s="17"/>
      <c r="E59" s="26"/>
    </row>
    <row r="60" customFormat="false" ht="19.5" hidden="false" customHeight="true" outlineLevel="0" collapsed="false">
      <c r="B60" s="29"/>
      <c r="C60" s="30"/>
      <c r="D60" s="17"/>
      <c r="E60" s="26"/>
    </row>
    <row r="61" customFormat="false" ht="19.5" hidden="false" customHeight="true" outlineLevel="0" collapsed="false">
      <c r="B61" s="29"/>
      <c r="C61" s="30"/>
      <c r="D61" s="17"/>
      <c r="E61" s="26"/>
    </row>
    <row r="62" customFormat="false" ht="19.5" hidden="false" customHeight="true" outlineLevel="0" collapsed="false">
      <c r="B62" s="29"/>
      <c r="C62" s="30"/>
      <c r="D62" s="17"/>
      <c r="E62" s="26"/>
    </row>
    <row r="63" customFormat="false" ht="19.5" hidden="false" customHeight="true" outlineLevel="0" collapsed="false">
      <c r="B63" s="29"/>
      <c r="C63" s="30"/>
      <c r="D63" s="17"/>
      <c r="E63" s="26"/>
    </row>
    <row r="64" customFormat="false" ht="19.5" hidden="false" customHeight="true" outlineLevel="0" collapsed="false">
      <c r="B64" s="29"/>
      <c r="C64" s="30"/>
      <c r="D64" s="17"/>
      <c r="E64" s="26"/>
    </row>
    <row r="65" customFormat="false" ht="19.5" hidden="false" customHeight="true" outlineLevel="0" collapsed="false">
      <c r="B65" s="29"/>
      <c r="C65" s="30"/>
      <c r="D65" s="17"/>
      <c r="E65" s="26"/>
    </row>
    <row r="66" customFormat="false" ht="19.5" hidden="false" customHeight="true" outlineLevel="0" collapsed="false">
      <c r="B66" s="29"/>
      <c r="C66" s="30"/>
      <c r="D66" s="17"/>
      <c r="E66" s="26"/>
    </row>
    <row r="67" customFormat="false" ht="19.5" hidden="false" customHeight="true" outlineLevel="0" collapsed="false">
      <c r="B67" s="29"/>
      <c r="C67" s="30"/>
      <c r="D67" s="17"/>
      <c r="E67" s="26"/>
    </row>
    <row r="68" customFormat="false" ht="19.5" hidden="false" customHeight="true" outlineLevel="0" collapsed="false">
      <c r="B68" s="29"/>
      <c r="C68" s="30"/>
      <c r="D68" s="17"/>
      <c r="E68" s="26"/>
    </row>
    <row r="69" customFormat="false" ht="19.5" hidden="false" customHeight="true" outlineLevel="0" collapsed="false">
      <c r="B69" s="29"/>
      <c r="C69" s="30"/>
      <c r="D69" s="17"/>
      <c r="E69" s="26"/>
    </row>
    <row r="70" customFormat="false" ht="19.5" hidden="false" customHeight="true" outlineLevel="0" collapsed="false">
      <c r="B70" s="29"/>
      <c r="C70" s="30"/>
      <c r="D70" s="17"/>
      <c r="E70" s="26"/>
    </row>
    <row r="71" customFormat="false" ht="19.5" hidden="false" customHeight="true" outlineLevel="0" collapsed="false">
      <c r="B71" s="29"/>
      <c r="C71" s="30"/>
      <c r="D71" s="17"/>
      <c r="E71" s="26"/>
    </row>
    <row r="72" customFormat="false" ht="19.5" hidden="false" customHeight="true" outlineLevel="0" collapsed="false">
      <c r="B72" s="29"/>
      <c r="C72" s="30"/>
      <c r="D72" s="17"/>
      <c r="E72" s="26"/>
    </row>
    <row r="73" customFormat="false" ht="19.5" hidden="false" customHeight="true" outlineLevel="0" collapsed="false">
      <c r="B73" s="29"/>
      <c r="C73" s="30"/>
      <c r="D73" s="17"/>
      <c r="E73" s="26"/>
    </row>
    <row r="74" customFormat="false" ht="19.5" hidden="false" customHeight="true" outlineLevel="0" collapsed="false">
      <c r="B74" s="29"/>
      <c r="C74" s="30"/>
      <c r="D74" s="17"/>
      <c r="E74" s="26"/>
    </row>
    <row r="75" customFormat="false" ht="19.5" hidden="false" customHeight="true" outlineLevel="0" collapsed="false">
      <c r="B75" s="29"/>
      <c r="C75" s="30"/>
      <c r="D75" s="17"/>
      <c r="E75" s="26"/>
    </row>
    <row r="76" customFormat="false" ht="19.5" hidden="false" customHeight="true" outlineLevel="0" collapsed="false">
      <c r="B76" s="29"/>
      <c r="C76" s="30"/>
      <c r="D76" s="17"/>
      <c r="E76" s="26"/>
    </row>
    <row r="77" customFormat="false" ht="19.5" hidden="false" customHeight="true" outlineLevel="0" collapsed="false">
      <c r="B77" s="29"/>
      <c r="C77" s="30"/>
      <c r="D77" s="17"/>
      <c r="E77" s="26"/>
    </row>
    <row r="78" customFormat="false" ht="19.5" hidden="false" customHeight="true" outlineLevel="0" collapsed="false">
      <c r="B78" s="29"/>
      <c r="C78" s="30"/>
      <c r="D78" s="17"/>
      <c r="E78" s="26"/>
    </row>
    <row r="79" customFormat="false" ht="19.5" hidden="false" customHeight="true" outlineLevel="0" collapsed="false">
      <c r="B79" s="29"/>
      <c r="C79" s="30"/>
      <c r="D79" s="17"/>
      <c r="E79" s="26"/>
    </row>
    <row r="80" customFormat="false" ht="19.5" hidden="false" customHeight="true" outlineLevel="0" collapsed="false">
      <c r="B80" s="29"/>
      <c r="C80" s="30"/>
      <c r="D80" s="17"/>
      <c r="E80" s="26"/>
    </row>
    <row r="81" customFormat="false" ht="19.5" hidden="false" customHeight="true" outlineLevel="0" collapsed="false">
      <c r="B81" s="29"/>
      <c r="C81" s="30"/>
      <c r="D81" s="17"/>
      <c r="E81" s="26"/>
    </row>
    <row r="82" customFormat="false" ht="19.5" hidden="false" customHeight="true" outlineLevel="0" collapsed="false">
      <c r="B82" s="29"/>
      <c r="C82" s="30"/>
      <c r="D82" s="17"/>
      <c r="E82" s="26"/>
    </row>
    <row r="83" customFormat="false" ht="19.5" hidden="false" customHeight="true" outlineLevel="0" collapsed="false">
      <c r="B83" s="29"/>
      <c r="C83" s="30"/>
      <c r="D83" s="17"/>
      <c r="E83" s="26"/>
    </row>
    <row r="84" customFormat="false" ht="19.5" hidden="false" customHeight="true" outlineLevel="0" collapsed="false">
      <c r="B84" s="29"/>
      <c r="C84" s="30"/>
      <c r="D84" s="17"/>
      <c r="E84" s="26"/>
    </row>
    <row r="85" customFormat="false" ht="19.5" hidden="false" customHeight="true" outlineLevel="0" collapsed="false">
      <c r="B85" s="29"/>
      <c r="C85" s="30"/>
      <c r="D85" s="17"/>
      <c r="E85" s="26"/>
    </row>
    <row r="86" customFormat="false" ht="19.5" hidden="false" customHeight="true" outlineLevel="0" collapsed="false">
      <c r="B86" s="29"/>
      <c r="C86" s="30"/>
      <c r="D86" s="17"/>
      <c r="E86" s="26"/>
    </row>
    <row r="87" customFormat="false" ht="15" hidden="false" customHeight="false" outlineLevel="0" collapsed="false">
      <c r="B87" s="28" t="s">
        <v>118</v>
      </c>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L12:L41">
    <cfRule type="expression" priority="4" aboveAverage="0" equalAverage="0" bottom="0" percent="0" rank="0" text="" dxfId="2">
      <formula>K12&gt;1</formula>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119</v>
      </c>
    </row>
    <row r="4" customFormat="false" ht="15" hidden="false" customHeight="false" outlineLevel="0" collapsed="false">
      <c r="B4" s="3" t="s">
        <v>2</v>
      </c>
      <c r="C4" s="3" t="s">
        <v>3</v>
      </c>
      <c r="E4" s="3" t="s">
        <v>4</v>
      </c>
      <c r="F4" s="3" t="s">
        <v>5</v>
      </c>
      <c r="H4" s="3" t="s">
        <v>6</v>
      </c>
      <c r="J4" s="3" t="s">
        <v>7</v>
      </c>
      <c r="L4" s="3" t="s">
        <v>8</v>
      </c>
      <c r="N4" s="3" t="s">
        <v>9</v>
      </c>
    </row>
    <row r="6" customFormat="false" ht="19.5" hidden="false" customHeight="true" outlineLevel="0" collapsed="false">
      <c r="B6" s="10" t="s">
        <v>120</v>
      </c>
      <c r="C6" s="10" t="s">
        <v>121</v>
      </c>
      <c r="D6" s="10" t="s">
        <v>102</v>
      </c>
      <c r="E6" s="10" t="s">
        <v>122</v>
      </c>
      <c r="F6" s="10" t="s">
        <v>123</v>
      </c>
      <c r="G6" s="10" t="s">
        <v>124</v>
      </c>
      <c r="H6" s="10" t="s">
        <v>125</v>
      </c>
      <c r="I6" s="10" t="s">
        <v>126</v>
      </c>
      <c r="J6" s="10" t="s">
        <v>24</v>
      </c>
      <c r="K6" s="10" t="s">
        <v>127</v>
      </c>
      <c r="L6" s="10" t="s">
        <v>128</v>
      </c>
      <c r="M6" s="10" t="s">
        <v>129</v>
      </c>
      <c r="N6" s="10" t="s">
        <v>130</v>
      </c>
      <c r="O6" s="10" t="s">
        <v>131</v>
      </c>
      <c r="P6" s="10" t="s">
        <v>132</v>
      </c>
      <c r="Q6" s="10" t="s">
        <v>133</v>
      </c>
    </row>
    <row r="7" customFormat="false" ht="15" hidden="false" customHeight="false" outlineLevel="0" collapsed="false">
      <c r="B7" s="17" t="s">
        <v>105</v>
      </c>
      <c r="C7" s="25" t="n">
        <v>1</v>
      </c>
      <c r="D7" s="26" t="n">
        <v>1400</v>
      </c>
      <c r="E7" s="34" t="s">
        <v>134</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34" t="s">
        <v>134</v>
      </c>
      <c r="F8" s="34"/>
      <c r="G8" s="34"/>
      <c r="H8" s="34"/>
      <c r="I8" s="34"/>
      <c r="J8" s="34"/>
      <c r="K8" s="34"/>
      <c r="L8" s="34"/>
      <c r="M8" s="34"/>
      <c r="N8" s="34"/>
      <c r="O8" s="34"/>
      <c r="P8" s="34"/>
      <c r="Q8" s="34"/>
    </row>
    <row r="9" customFormat="false" ht="15" hidden="false" customHeight="false" outlineLevel="0" collapsed="false">
      <c r="B9" s="17" t="s">
        <v>114</v>
      </c>
      <c r="C9" s="25" t="n">
        <v>18</v>
      </c>
      <c r="D9" s="26" t="n">
        <v>15.99</v>
      </c>
      <c r="E9" s="34" t="s">
        <v>134</v>
      </c>
      <c r="F9" s="34"/>
      <c r="G9" s="34"/>
      <c r="H9" s="34"/>
      <c r="I9" s="34"/>
      <c r="J9" s="34"/>
      <c r="K9" s="34"/>
      <c r="L9" s="34"/>
      <c r="M9" s="34"/>
      <c r="N9" s="34"/>
      <c r="O9" s="34"/>
      <c r="P9" s="34"/>
      <c r="Q9" s="34"/>
    </row>
    <row r="10" customFormat="false" ht="15" hidden="false" customHeight="false" outlineLevel="0" collapsed="false">
      <c r="B10" s="17" t="s">
        <v>135</v>
      </c>
      <c r="C10" s="25" t="n">
        <v>20</v>
      </c>
      <c r="D10" s="26" t="n">
        <v>160</v>
      </c>
      <c r="E10" s="34" t="s">
        <v>136</v>
      </c>
      <c r="F10" s="34"/>
      <c r="G10" s="34"/>
      <c r="H10" s="34"/>
      <c r="I10" s="34"/>
      <c r="J10" s="34"/>
      <c r="K10" s="34"/>
      <c r="L10" s="34"/>
      <c r="M10" s="34"/>
      <c r="N10" s="34"/>
      <c r="O10" s="34"/>
      <c r="P10" s="34"/>
      <c r="Q10" s="34"/>
    </row>
    <row r="11" customFormat="false" ht="15" hidden="false" customHeight="false" outlineLevel="0" collapsed="false">
      <c r="B11" s="17" t="s">
        <v>137</v>
      </c>
      <c r="C11" s="25" t="n">
        <v>22</v>
      </c>
      <c r="D11" s="26" t="n">
        <v>90</v>
      </c>
      <c r="E11" s="34" t="s">
        <v>136</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34" t="s">
        <v>136</v>
      </c>
      <c r="F12" s="34"/>
      <c r="G12" s="34"/>
      <c r="H12" s="34"/>
      <c r="I12" s="34"/>
      <c r="J12" s="34"/>
      <c r="K12" s="34"/>
      <c r="L12" s="34"/>
      <c r="M12" s="34"/>
      <c r="N12" s="34"/>
      <c r="O12" s="34"/>
      <c r="P12" s="34"/>
      <c r="Q12" s="34"/>
    </row>
    <row r="13" customFormat="false" ht="15" hidden="false" customHeight="false" outlineLevel="0" collapsed="false">
      <c r="B13" s="17"/>
      <c r="C13" s="25"/>
      <c r="D13" s="26"/>
      <c r="E13" s="34"/>
      <c r="F13" s="34"/>
      <c r="G13" s="34"/>
      <c r="H13" s="34"/>
      <c r="I13" s="34"/>
      <c r="J13" s="34"/>
      <c r="K13" s="34"/>
      <c r="L13" s="34"/>
      <c r="M13" s="34"/>
      <c r="N13" s="34"/>
      <c r="O13" s="34"/>
      <c r="P13" s="34"/>
      <c r="Q13" s="34"/>
    </row>
    <row r="14" customFormat="false" ht="15" hidden="false" customHeight="false" outlineLevel="0" collapsed="false">
      <c r="B14" s="17"/>
      <c r="C14" s="25"/>
      <c r="D14" s="26"/>
      <c r="E14" s="34"/>
      <c r="F14" s="34"/>
      <c r="G14" s="34"/>
      <c r="H14" s="34"/>
      <c r="I14" s="34"/>
      <c r="J14" s="34"/>
      <c r="K14" s="34"/>
      <c r="L14" s="34"/>
      <c r="M14" s="34"/>
      <c r="N14" s="34"/>
      <c r="O14" s="34"/>
      <c r="P14" s="34"/>
      <c r="Q14" s="34"/>
    </row>
    <row r="15" customFormat="false" ht="15" hidden="false" customHeight="false" outlineLevel="0" collapsed="false">
      <c r="B15" s="17"/>
      <c r="C15" s="25"/>
      <c r="D15" s="26"/>
      <c r="E15" s="34"/>
      <c r="F15" s="34"/>
      <c r="G15" s="34"/>
      <c r="H15" s="34"/>
      <c r="I15" s="34"/>
      <c r="J15" s="34"/>
      <c r="K15" s="34"/>
      <c r="L15" s="34"/>
      <c r="M15" s="34"/>
      <c r="N15" s="34"/>
      <c r="O15" s="34"/>
      <c r="P15" s="34"/>
      <c r="Q15" s="34"/>
    </row>
    <row r="16" customFormat="false" ht="15" hidden="false" customHeight="false" outlineLevel="0" collapsed="false">
      <c r="B16" s="17"/>
      <c r="C16" s="25"/>
      <c r="D16" s="26"/>
      <c r="E16" s="34"/>
      <c r="F16" s="34"/>
      <c r="G16" s="34"/>
      <c r="H16" s="34"/>
      <c r="I16" s="34"/>
      <c r="J16" s="34"/>
      <c r="K16" s="34"/>
      <c r="L16" s="34"/>
      <c r="M16" s="34"/>
      <c r="N16" s="34"/>
      <c r="O16" s="34"/>
      <c r="P16" s="34"/>
      <c r="Q16" s="34"/>
    </row>
    <row r="17" customFormat="false" ht="15" hidden="false" customHeight="false" outlineLevel="0" collapsed="false">
      <c r="B17" s="17"/>
      <c r="C17" s="25"/>
      <c r="D17" s="26"/>
      <c r="E17" s="34"/>
      <c r="F17" s="34"/>
      <c r="G17" s="34"/>
      <c r="H17" s="34"/>
      <c r="I17" s="34"/>
      <c r="J17" s="34"/>
      <c r="K17" s="34"/>
      <c r="L17" s="34"/>
      <c r="M17" s="34"/>
      <c r="N17" s="34"/>
      <c r="O17" s="34"/>
      <c r="P17" s="34"/>
      <c r="Q17" s="34"/>
    </row>
    <row r="18" customFormat="false" ht="15" hidden="false" customHeight="false" outlineLevel="0" collapsed="false">
      <c r="B18" s="17"/>
      <c r="C18" s="25"/>
      <c r="D18" s="26"/>
      <c r="E18" s="34"/>
      <c r="F18" s="34"/>
      <c r="G18" s="34"/>
      <c r="H18" s="34"/>
      <c r="I18" s="34"/>
      <c r="J18" s="34"/>
      <c r="K18" s="34"/>
      <c r="L18" s="34"/>
      <c r="M18" s="34"/>
      <c r="N18" s="34"/>
      <c r="O18" s="34"/>
      <c r="P18" s="34"/>
      <c r="Q18" s="34"/>
    </row>
    <row r="19" customFormat="false" ht="15" hidden="false" customHeight="false" outlineLevel="0" collapsed="false">
      <c r="B19" s="17"/>
      <c r="C19" s="25"/>
      <c r="D19" s="26"/>
      <c r="E19" s="34"/>
      <c r="F19" s="34"/>
      <c r="G19" s="34"/>
      <c r="H19" s="34"/>
      <c r="I19" s="34"/>
      <c r="J19" s="34"/>
      <c r="K19" s="34"/>
      <c r="L19" s="34"/>
      <c r="M19" s="34"/>
      <c r="N19" s="34"/>
      <c r="O19" s="34"/>
      <c r="P19" s="34"/>
      <c r="Q19" s="34"/>
    </row>
    <row r="20" customFormat="false" ht="15" hidden="false" customHeight="false" outlineLevel="0" collapsed="false">
      <c r="B20" s="17"/>
      <c r="C20" s="25"/>
      <c r="D20" s="26"/>
      <c r="E20" s="34"/>
      <c r="F20" s="34"/>
      <c r="G20" s="34"/>
      <c r="H20" s="34"/>
      <c r="I20" s="34"/>
      <c r="J20" s="34"/>
      <c r="K20" s="34"/>
      <c r="L20" s="34"/>
      <c r="M20" s="34"/>
      <c r="N20" s="34"/>
      <c r="O20" s="34"/>
      <c r="P20" s="34"/>
      <c r="Q20" s="34"/>
    </row>
    <row r="21" customFormat="false" ht="15" hidden="false" customHeight="false" outlineLevel="0" collapsed="false">
      <c r="B21" s="17"/>
      <c r="C21" s="25"/>
      <c r="D21" s="26"/>
      <c r="E21" s="34"/>
      <c r="F21" s="34"/>
      <c r="G21" s="34"/>
      <c r="H21" s="34"/>
      <c r="I21" s="34"/>
      <c r="J21" s="34"/>
      <c r="K21" s="34"/>
      <c r="L21" s="34"/>
      <c r="M21" s="34"/>
      <c r="N21" s="34"/>
      <c r="O21" s="34"/>
      <c r="P21" s="34"/>
      <c r="Q21" s="34"/>
    </row>
    <row r="22" customFormat="false" ht="15" hidden="false" customHeight="false" outlineLevel="0" collapsed="false">
      <c r="B22" s="17"/>
      <c r="C22" s="25"/>
      <c r="D22" s="26"/>
      <c r="E22" s="34"/>
      <c r="F22" s="34"/>
      <c r="G22" s="34"/>
      <c r="H22" s="34"/>
      <c r="I22" s="34"/>
      <c r="J22" s="34"/>
      <c r="K22" s="34"/>
      <c r="L22" s="34"/>
      <c r="M22" s="34"/>
      <c r="N22" s="34"/>
      <c r="O22" s="34"/>
      <c r="P22" s="34"/>
      <c r="Q22" s="34"/>
    </row>
    <row r="23" customFormat="false" ht="15" hidden="false" customHeight="false" outlineLevel="0" collapsed="false">
      <c r="B23" s="17"/>
      <c r="C23" s="25"/>
      <c r="D23" s="26"/>
      <c r="E23" s="34"/>
      <c r="F23" s="34"/>
      <c r="G23" s="34"/>
      <c r="H23" s="34"/>
      <c r="I23" s="34"/>
      <c r="J23" s="34"/>
      <c r="K23" s="34"/>
      <c r="L23" s="34"/>
      <c r="M23" s="34"/>
      <c r="N23" s="34"/>
      <c r="O23" s="34"/>
      <c r="P23" s="34"/>
      <c r="Q23" s="34"/>
    </row>
    <row r="24" customFormat="false" ht="15" hidden="false" customHeight="false" outlineLevel="0" collapsed="false">
      <c r="B24" s="17"/>
      <c r="C24" s="25"/>
      <c r="D24" s="26"/>
      <c r="E24" s="34"/>
      <c r="F24" s="34"/>
      <c r="G24" s="34"/>
      <c r="H24" s="34"/>
      <c r="I24" s="34"/>
      <c r="J24" s="34"/>
      <c r="K24" s="34"/>
      <c r="L24" s="34"/>
      <c r="M24" s="34"/>
      <c r="N24" s="34"/>
      <c r="O24" s="34"/>
      <c r="P24" s="34"/>
      <c r="Q24" s="34"/>
    </row>
    <row r="25" customFormat="false" ht="15" hidden="false" customHeight="false" outlineLevel="0" collapsed="false">
      <c r="B25" s="17"/>
      <c r="C25" s="25"/>
      <c r="D25" s="26"/>
      <c r="E25" s="34"/>
      <c r="F25" s="34"/>
      <c r="G25" s="34"/>
      <c r="H25" s="34"/>
      <c r="I25" s="34"/>
      <c r="J25" s="34"/>
      <c r="K25" s="34"/>
      <c r="L25" s="34"/>
      <c r="M25" s="34"/>
      <c r="N25" s="34"/>
      <c r="O25" s="34"/>
      <c r="P25" s="34"/>
      <c r="Q25" s="34"/>
    </row>
    <row r="26" customFormat="false" ht="15" hidden="false" customHeight="false" outlineLevel="0" collapsed="false">
      <c r="B26" s="17"/>
      <c r="C26" s="25"/>
      <c r="D26" s="26"/>
      <c r="E26" s="34"/>
      <c r="F26" s="34"/>
      <c r="G26" s="34"/>
      <c r="H26" s="34"/>
      <c r="I26" s="34"/>
      <c r="J26" s="34"/>
      <c r="K26" s="34"/>
      <c r="L26" s="34"/>
      <c r="M26" s="34"/>
      <c r="N26" s="34"/>
      <c r="O26" s="34"/>
      <c r="P26" s="34"/>
      <c r="Q26" s="34"/>
    </row>
    <row r="27" customFormat="false" ht="15" hidden="false" customHeight="false" outlineLevel="0" collapsed="false">
      <c r="B27" s="17"/>
      <c r="C27" s="25"/>
      <c r="D27" s="26"/>
      <c r="E27" s="34"/>
      <c r="F27" s="34"/>
      <c r="G27" s="34"/>
      <c r="H27" s="34"/>
      <c r="I27" s="34"/>
      <c r="J27" s="34"/>
      <c r="K27" s="34"/>
      <c r="L27" s="34"/>
      <c r="M27" s="34"/>
      <c r="N27" s="34"/>
      <c r="O27" s="34"/>
      <c r="P27" s="34"/>
      <c r="Q27" s="34"/>
    </row>
    <row r="28" customFormat="false" ht="15" hidden="false" customHeight="false" outlineLevel="0" collapsed="false">
      <c r="B28" s="17"/>
      <c r="C28" s="25"/>
      <c r="D28" s="26"/>
      <c r="E28" s="34"/>
      <c r="F28" s="34"/>
      <c r="G28" s="34"/>
      <c r="H28" s="34"/>
      <c r="I28" s="34"/>
      <c r="J28" s="34"/>
      <c r="K28" s="34"/>
      <c r="L28" s="34"/>
      <c r="M28" s="34"/>
      <c r="N28" s="34"/>
      <c r="O28" s="34"/>
      <c r="P28" s="34"/>
      <c r="Q28" s="34"/>
    </row>
    <row r="29" customFormat="false" ht="15" hidden="false" customHeight="false" outlineLevel="0" collapsed="false">
      <c r="B29" s="17"/>
      <c r="C29" s="25"/>
      <c r="D29" s="26"/>
      <c r="E29" s="34"/>
      <c r="F29" s="34"/>
      <c r="G29" s="34"/>
      <c r="H29" s="34"/>
      <c r="I29" s="34"/>
      <c r="J29" s="34"/>
      <c r="K29" s="34"/>
      <c r="L29" s="34"/>
      <c r="M29" s="34"/>
      <c r="N29" s="34"/>
      <c r="O29" s="34"/>
      <c r="P29" s="34"/>
      <c r="Q29" s="34"/>
    </row>
    <row r="30" customFormat="false" ht="15" hidden="false" customHeight="false" outlineLevel="0" collapsed="false">
      <c r="B30" s="17"/>
      <c r="C30" s="25"/>
      <c r="D30" s="26"/>
      <c r="E30" s="34"/>
      <c r="F30" s="34"/>
      <c r="G30" s="34"/>
      <c r="H30" s="34"/>
      <c r="I30" s="34"/>
      <c r="J30" s="34"/>
      <c r="K30" s="34"/>
      <c r="L30" s="34"/>
      <c r="M30" s="34"/>
      <c r="N30" s="34"/>
      <c r="O30" s="34"/>
      <c r="P30" s="34"/>
      <c r="Q30" s="34"/>
    </row>
    <row r="31" customFormat="false" ht="15" hidden="false" customHeight="false" outlineLevel="0" collapsed="false">
      <c r="B31" s="17"/>
      <c r="C31" s="25"/>
      <c r="D31" s="26"/>
      <c r="E31" s="34"/>
      <c r="F31" s="34"/>
      <c r="G31" s="34"/>
      <c r="H31" s="34"/>
      <c r="I31" s="34"/>
      <c r="J31" s="34"/>
      <c r="K31" s="34"/>
      <c r="L31" s="34"/>
      <c r="M31" s="34"/>
      <c r="N31" s="34"/>
      <c r="O31" s="34"/>
      <c r="P31" s="34"/>
      <c r="Q31" s="34"/>
    </row>
    <row r="32" customFormat="false" ht="15" hidden="false" customHeight="false" outlineLevel="0" collapsed="false">
      <c r="B32" s="19" t="s">
        <v>138</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139</v>
      </c>
    </row>
    <row r="3" customFormat="false" ht="15" hidden="false" customHeight="false" outlineLevel="0" collapsed="false">
      <c r="B3" s="2" t="s">
        <v>140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141</v>
      </c>
      <c r="C6" s="35" t="n">
        <f aca="false">DATE(BudgetYear,1,1)+MOD(6-WEEKDAY(DATE(BudgetYear,1,1)),7)</f>
        <v>46388</v>
      </c>
    </row>
    <row r="7" customFormat="false" ht="15" hidden="false" customHeight="false" outlineLevel="0" collapsed="false">
      <c r="B7" s="19" t="s">
        <v>142</v>
      </c>
      <c r="C7" s="17" t="s">
        <v>143</v>
      </c>
    </row>
    <row r="8" customFormat="false" ht="15" hidden="false" customHeight="false" outlineLevel="0" collapsed="false">
      <c r="B8" s="19" t="s">
        <v>144</v>
      </c>
      <c r="C8" s="26" t="n">
        <f aca="false">ROUND(Setup!$C$10*12/CHOOSE(MATCH($C$7,{"Weekly","Every 2 weeks","Twice a month","Monthly"},0),52,26,24,12),2)</f>
        <v>1661.54</v>
      </c>
      <c r="D8" s="28" t="s">
        <v>145</v>
      </c>
    </row>
    <row r="10" customFormat="false" ht="33.75" hidden="false" customHeight="true" outlineLevel="0" collapsed="false">
      <c r="B10" s="10" t="s">
        <v>146</v>
      </c>
      <c r="C10" s="10" t="s">
        <v>7</v>
      </c>
      <c r="D10" s="10" t="s">
        <v>147</v>
      </c>
      <c r="E10" s="10" t="s">
        <v>148</v>
      </c>
      <c r="F10" s="10" t="s">
        <v>141</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IF(F11="","",IF(F11&gt;DATE(BudgetYear,12,31),"",F11))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IF(F12="","",IF(F12&gt;DATE(BudgetYear,12,31),"",F12))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IF(F13="","",IF(F13&gt;DATE(BudgetYear,12,31),"",F13))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IF(F14="","",IF(F14&gt;DATE(BudgetYear,12,31),"",F14))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IF(F15="","",IF(F15&gt;DATE(BudgetYear,12,31),"",F15))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IF(F16="","",IF(F16&gt;DATE(BudgetYear,12,31),"",F16))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IF(F17="","",IF(F17&gt;DATE(BudgetYear,12,31),"",F17))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IF(F18="","",IF(F18&gt;DATE(BudgetYear,12,31),"",F18))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IF(F19="","",IF(F19&gt;DATE(BudgetYear,12,31),"",F19))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IF(F20="","",IF(F20&gt;DATE(BudgetYear,12,31),"",F20))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IF(F21="","",IF(F21&gt;DATE(BudgetYear,12,31),"",F21))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IF(F22="","",IF(F22&gt;DATE(BudgetYear,12,31),"",F22))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IF(F23="","",IF(F23&gt;DATE(BudgetYear,12,31),"",F23))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IF(F24="","",IF(F24&gt;DATE(BudgetYear,12,31),"",F24))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IF(F25="","",IF(F25&gt;DATE(BudgetYear,12,31),"",F25))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IF(F26="","",IF(F26&gt;DATE(BudgetYear,12,31),"",F26))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IF(F27="","",IF(F27&gt;DATE(BudgetYear,12,31),"",F27))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IF(F28="","",IF(F28&gt;DATE(BudgetYear,12,31),"",F28))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IF(F29="","",IF(F29&gt;DATE(BudgetYear,12,31),"",F29))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IF(F30="","",IF(F30&gt;DATE(BudgetYear,12,31),"",F30))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IF(F31="","",IF(F31&gt;DATE(BudgetYear,12,31),"",F31))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IF(F32="","",IF(F32&gt;DATE(BudgetYear,12,31),"",F32))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IF(F33="","",IF(F33&gt;DATE(BudgetYear,12,31),"",F33))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IF(F34="","",IF(F34&gt;DATE(BudgetYear,12,31),"",F34))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IF(F35="","",IF(F35&gt;DATE(BudgetYear,12,31),"",F35))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IF(F36="","",IF(F36&gt;DATE(BudgetYear,12,31),"",F36))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row r="38" customFormat="false" ht="15" hidden="false" customHeight="false" outlineLevel="0" collapsed="false">
      <c r="B38" s="36" t="str">
        <f aca="false">IF(F37="","",IF(F37&gt;DATE(BudgetYear,12,31),"",F37))</f>
        <v/>
      </c>
      <c r="C38" s="26" t="str">
        <f aca="false">IF(B38="","",$C$8)</f>
        <v/>
      </c>
      <c r="D38" s="22" t="str">
        <f aca="false">IF(B38="","",SUMPRODUCT((Bills!$C$7:$C$31&lt;&gt;"")*(DATE(YEAR(B38),MONTH(B38)+(DAY(B38)&gt;Bills!$C$7:$C$31),Bills!$C$7:$C$31)&lt;F38)*Bills!$D$7:$D$31))</f>
        <v/>
      </c>
      <c r="E38" s="23" t="str">
        <f aca="false">IF(B38="","",C38-D38)</f>
        <v/>
      </c>
      <c r="F38" s="37" t="str">
        <f aca="false">IF(B38="","",CHOOSE(MATCH($C$7,{"Weekly","Every 2 weeks","Twice a month","Monthly"},0),B38+7,B38+14,IF(DAY(B38)&lt;15,DATE(YEAR(B38),MONTH(B38),15),DATE(YEAR(B38),MONTH(B38)+1,1)),EDATE(B38,1)))</f>
        <v/>
      </c>
    </row>
    <row r="39" customFormat="false" ht="15" hidden="false" customHeight="false" outlineLevel="0" collapsed="false">
      <c r="B39" s="36" t="str">
        <f aca="false">IF(F38="","",IF(F38&gt;DATE(BudgetYear,12,31),"",F38))</f>
        <v/>
      </c>
      <c r="C39" s="26" t="str">
        <f aca="false">IF(B39="","",$C$8)</f>
        <v/>
      </c>
      <c r="D39" s="22" t="str">
        <f aca="false">IF(B39="","",SUMPRODUCT((Bills!$C$7:$C$31&lt;&gt;"")*(DATE(YEAR(B39),MONTH(B39)+(DAY(B39)&gt;Bills!$C$7:$C$31),Bills!$C$7:$C$31)&lt;F39)*Bills!$D$7:$D$31))</f>
        <v/>
      </c>
      <c r="E39" s="23" t="str">
        <f aca="false">IF(B39="","",C39-D39)</f>
        <v/>
      </c>
      <c r="F39" s="37" t="str">
        <f aca="false">IF(B39="","",CHOOSE(MATCH($C$7,{"Weekly","Every 2 weeks","Twice a month","Monthly"},0),B39+7,B39+14,IF(DAY(B39)&lt;15,DATE(YEAR(B39),MONTH(B39),15),DATE(YEAR(B39),MONTH(B39)+1,1)),EDATE(B39,1)))</f>
        <v/>
      </c>
    </row>
    <row r="40" customFormat="false" ht="15" hidden="false" customHeight="false" outlineLevel="0" collapsed="false">
      <c r="B40" s="36" t="str">
        <f aca="false">IF(F39="","",IF(F39&gt;DATE(BudgetYear,12,31),"",F39))</f>
        <v/>
      </c>
      <c r="C40" s="26" t="str">
        <f aca="false">IF(B40="","",$C$8)</f>
        <v/>
      </c>
      <c r="D40" s="22" t="str">
        <f aca="false">IF(B40="","",SUMPRODUCT((Bills!$C$7:$C$31&lt;&gt;"")*(DATE(YEAR(B40),MONTH(B40)+(DAY(B40)&gt;Bills!$C$7:$C$31),Bills!$C$7:$C$31)&lt;F40)*Bills!$D$7:$D$31))</f>
        <v/>
      </c>
      <c r="E40" s="23" t="str">
        <f aca="false">IF(B40="","",C40-D40)</f>
        <v/>
      </c>
      <c r="F40" s="37" t="str">
        <f aca="false">IF(B40="","",CHOOSE(MATCH($C$7,{"Weekly","Every 2 weeks","Twice a month","Monthly"},0),B40+7,B40+14,IF(DAY(B40)&lt;15,DATE(YEAR(B40),MONTH(B40),15),DATE(YEAR(B40),MONTH(B40)+1,1)),EDATE(B40,1)))</f>
        <v/>
      </c>
    </row>
    <row r="41" customFormat="false" ht="15" hidden="false" customHeight="false" outlineLevel="0" collapsed="false">
      <c r="B41" s="36" t="str">
        <f aca="false">IF(F40="","",IF(F40&gt;DATE(BudgetYear,12,31),"",F40))</f>
        <v/>
      </c>
      <c r="C41" s="26" t="str">
        <f aca="false">IF(B41="","",$C$8)</f>
        <v/>
      </c>
      <c r="D41" s="22" t="str">
        <f aca="false">IF(B41="","",SUMPRODUCT((Bills!$C$7:$C$31&lt;&gt;"")*(DATE(YEAR(B41),MONTH(B41)+(DAY(B41)&gt;Bills!$C$7:$C$31),Bills!$C$7:$C$31)&lt;F41)*Bills!$D$7:$D$31))</f>
        <v/>
      </c>
      <c r="E41" s="23" t="str">
        <f aca="false">IF(B41="","",C41-D41)</f>
        <v/>
      </c>
      <c r="F41" s="37" t="str">
        <f aca="false">IF(B41="","",CHOOSE(MATCH($C$7,{"Weekly","Every 2 weeks","Twice a month","Monthly"},0),B41+7,B41+14,IF(DAY(B41)&lt;15,DATE(YEAR(B41),MONTH(B41),15),DATE(YEAR(B41),MONTH(B41)+1,1)),EDATE(B41,1)))</f>
        <v/>
      </c>
    </row>
    <row r="42" customFormat="false" ht="15" hidden="false" customHeight="false" outlineLevel="0" collapsed="false">
      <c r="B42" s="36" t="str">
        <f aca="false">IF(F41="","",IF(F41&gt;DATE(BudgetYear,12,31),"",F41))</f>
        <v/>
      </c>
      <c r="C42" s="26" t="str">
        <f aca="false">IF(B42="","",$C$8)</f>
        <v/>
      </c>
      <c r="D42" s="22" t="str">
        <f aca="false">IF(B42="","",SUMPRODUCT((Bills!$C$7:$C$31&lt;&gt;"")*(DATE(YEAR(B42),MONTH(B42)+(DAY(B42)&gt;Bills!$C$7:$C$31),Bills!$C$7:$C$31)&lt;F42)*Bills!$D$7:$D$31))</f>
        <v/>
      </c>
      <c r="E42" s="23" t="str">
        <f aca="false">IF(B42="","",C42-D42)</f>
        <v/>
      </c>
      <c r="F42" s="37" t="str">
        <f aca="false">IF(B42="","",CHOOSE(MATCH($C$7,{"Weekly","Every 2 weeks","Twice a month","Monthly"},0),B42+7,B42+14,IF(DAY(B42)&lt;15,DATE(YEAR(B42),MONTH(B42),15),DATE(YEAR(B42),MONTH(B42)+1,1)),EDATE(B42,1)))</f>
        <v/>
      </c>
    </row>
    <row r="43" customFormat="false" ht="15" hidden="false" customHeight="false" outlineLevel="0" collapsed="false">
      <c r="B43" s="36" t="str">
        <f aca="false">IF(F42="","",IF(F42&gt;DATE(BudgetYear,12,31),"",F42))</f>
        <v/>
      </c>
      <c r="C43" s="26" t="str">
        <f aca="false">IF(B43="","",$C$8)</f>
        <v/>
      </c>
      <c r="D43" s="22" t="str">
        <f aca="false">IF(B43="","",SUMPRODUCT((Bills!$C$7:$C$31&lt;&gt;"")*(DATE(YEAR(B43),MONTH(B43)+(DAY(B43)&gt;Bills!$C$7:$C$31),Bills!$C$7:$C$31)&lt;F43)*Bills!$D$7:$D$31))</f>
        <v/>
      </c>
      <c r="E43" s="23" t="str">
        <f aca="false">IF(B43="","",C43-D43)</f>
        <v/>
      </c>
      <c r="F43" s="37" t="str">
        <f aca="false">IF(B43="","",CHOOSE(MATCH($C$7,{"Weekly","Every 2 weeks","Twice a month","Monthly"},0),B43+7,B43+14,IF(DAY(B43)&lt;15,DATE(YEAR(B43),MONTH(B43),15),DATE(YEAR(B43),MONTH(B43)+1,1)),EDATE(B43,1)))</f>
        <v/>
      </c>
    </row>
    <row r="44" customFormat="false" ht="15" hidden="false" customHeight="false" outlineLevel="0" collapsed="false">
      <c r="B44" s="36" t="str">
        <f aca="false">IF(F43="","",IF(F43&gt;DATE(BudgetYear,12,31),"",F43))</f>
        <v/>
      </c>
      <c r="C44" s="26" t="str">
        <f aca="false">IF(B44="","",$C$8)</f>
        <v/>
      </c>
      <c r="D44" s="22" t="str">
        <f aca="false">IF(B44="","",SUMPRODUCT((Bills!$C$7:$C$31&lt;&gt;"")*(DATE(YEAR(B44),MONTH(B44)+(DAY(B44)&gt;Bills!$C$7:$C$31),Bills!$C$7:$C$31)&lt;F44)*Bills!$D$7:$D$31))</f>
        <v/>
      </c>
      <c r="E44" s="23" t="str">
        <f aca="false">IF(B44="","",C44-D44)</f>
        <v/>
      </c>
      <c r="F44" s="37" t="str">
        <f aca="false">IF(B44="","",CHOOSE(MATCH($C$7,{"Weekly","Every 2 weeks","Twice a month","Monthly"},0),B44+7,B44+14,IF(DAY(B44)&lt;15,DATE(YEAR(B44),MONTH(B44),15),DATE(YEAR(B44),MONTH(B44)+1,1)),EDATE(B44,1)))</f>
        <v/>
      </c>
    </row>
    <row r="45" customFormat="false" ht="15" hidden="false" customHeight="false" outlineLevel="0" collapsed="false">
      <c r="B45" s="36" t="str">
        <f aca="false">IF(F44="","",IF(F44&gt;DATE(BudgetYear,12,31),"",F44))</f>
        <v/>
      </c>
      <c r="C45" s="26" t="str">
        <f aca="false">IF(B45="","",$C$8)</f>
        <v/>
      </c>
      <c r="D45" s="22" t="str">
        <f aca="false">IF(B45="","",SUMPRODUCT((Bills!$C$7:$C$31&lt;&gt;"")*(DATE(YEAR(B45),MONTH(B45)+(DAY(B45)&gt;Bills!$C$7:$C$31),Bills!$C$7:$C$31)&lt;F45)*Bills!$D$7:$D$31))</f>
        <v/>
      </c>
      <c r="E45" s="23" t="str">
        <f aca="false">IF(B45="","",C45-D45)</f>
        <v/>
      </c>
      <c r="F45" s="37" t="str">
        <f aca="false">IF(B45="","",CHOOSE(MATCH($C$7,{"Weekly","Every 2 weeks","Twice a month","Monthly"},0),B45+7,B45+14,IF(DAY(B45)&lt;15,DATE(YEAR(B45),MONTH(B45),15),DATE(YEAR(B45),MONTH(B45)+1,1)),EDATE(B45,1)))</f>
        <v/>
      </c>
    </row>
    <row r="46" customFormat="false" ht="15" hidden="false" customHeight="false" outlineLevel="0" collapsed="false">
      <c r="B46" s="36" t="str">
        <f aca="false">IF(F45="","",IF(F45&gt;DATE(BudgetYear,12,31),"",F45))</f>
        <v/>
      </c>
      <c r="C46" s="26" t="str">
        <f aca="false">IF(B46="","",$C$8)</f>
        <v/>
      </c>
      <c r="D46" s="22" t="str">
        <f aca="false">IF(B46="","",SUMPRODUCT((Bills!$C$7:$C$31&lt;&gt;"")*(DATE(YEAR(B46),MONTH(B46)+(DAY(B46)&gt;Bills!$C$7:$C$31),Bills!$C$7:$C$31)&lt;F46)*Bills!$D$7:$D$31))</f>
        <v/>
      </c>
      <c r="E46" s="23" t="str">
        <f aca="false">IF(B46="","",C46-D46)</f>
        <v/>
      </c>
      <c r="F46" s="37" t="str">
        <f aca="false">IF(B46="","",CHOOSE(MATCH($C$7,{"Weekly","Every 2 weeks","Twice a month","Monthly"},0),B46+7,B46+14,IF(DAY(B46)&lt;15,DATE(YEAR(B46),MONTH(B46),15),DATE(YEAR(B46),MONTH(B46)+1,1)),EDATE(B46,1)))</f>
        <v/>
      </c>
    </row>
    <row r="47" customFormat="false" ht="15" hidden="false" customHeight="false" outlineLevel="0" collapsed="false">
      <c r="B47" s="36" t="str">
        <f aca="false">IF(F46="","",IF(F46&gt;DATE(BudgetYear,12,31),"",F46))</f>
        <v/>
      </c>
      <c r="C47" s="26" t="str">
        <f aca="false">IF(B47="","",$C$8)</f>
        <v/>
      </c>
      <c r="D47" s="22" t="str">
        <f aca="false">IF(B47="","",SUMPRODUCT((Bills!$C$7:$C$31&lt;&gt;"")*(DATE(YEAR(B47),MONTH(B47)+(DAY(B47)&gt;Bills!$C$7:$C$31),Bills!$C$7:$C$31)&lt;F47)*Bills!$D$7:$D$31))</f>
        <v/>
      </c>
      <c r="E47" s="23" t="str">
        <f aca="false">IF(B47="","",C47-D47)</f>
        <v/>
      </c>
      <c r="F47" s="37" t="str">
        <f aca="false">IF(B47="","",CHOOSE(MATCH($C$7,{"Weekly","Every 2 weeks","Twice a month","Monthly"},0),B47+7,B47+14,IF(DAY(B47)&lt;15,DATE(YEAR(B47),MONTH(B47),15),DATE(YEAR(B47),MONTH(B47)+1,1)),EDATE(B47,1)))</f>
        <v/>
      </c>
    </row>
    <row r="48" customFormat="false" ht="15" hidden="false" customHeight="false" outlineLevel="0" collapsed="false">
      <c r="B48" s="36" t="str">
        <f aca="false">IF(F47="","",IF(F47&gt;DATE(BudgetYear,12,31),"",F47))</f>
        <v/>
      </c>
      <c r="C48" s="26" t="str">
        <f aca="false">IF(B48="","",$C$8)</f>
        <v/>
      </c>
      <c r="D48" s="22" t="str">
        <f aca="false">IF(B48="","",SUMPRODUCT((Bills!$C$7:$C$31&lt;&gt;"")*(DATE(YEAR(B48),MONTH(B48)+(DAY(B48)&gt;Bills!$C$7:$C$31),Bills!$C$7:$C$31)&lt;F48)*Bills!$D$7:$D$31))</f>
        <v/>
      </c>
      <c r="E48" s="23" t="str">
        <f aca="false">IF(B48="","",C48-D48)</f>
        <v/>
      </c>
      <c r="F48" s="37" t="str">
        <f aca="false">IF(B48="","",CHOOSE(MATCH($C$7,{"Weekly","Every 2 weeks","Twice a month","Monthly"},0),B48+7,B48+14,IF(DAY(B48)&lt;15,DATE(YEAR(B48),MONTH(B48),15),DATE(YEAR(B48),MONTH(B48)+1,1)),EDATE(B48,1)))</f>
        <v/>
      </c>
    </row>
    <row r="49" customFormat="false" ht="15" hidden="false" customHeight="false" outlineLevel="0" collapsed="false">
      <c r="B49" s="36" t="str">
        <f aca="false">IF(F48="","",IF(F48&gt;DATE(BudgetYear,12,31),"",F48))</f>
        <v/>
      </c>
      <c r="C49" s="26" t="str">
        <f aca="false">IF(B49="","",$C$8)</f>
        <v/>
      </c>
      <c r="D49" s="22" t="str">
        <f aca="false">IF(B49="","",SUMPRODUCT((Bills!$C$7:$C$31&lt;&gt;"")*(DATE(YEAR(B49),MONTH(B49)+(DAY(B49)&gt;Bills!$C$7:$C$31),Bills!$C$7:$C$31)&lt;F49)*Bills!$D$7:$D$31))</f>
        <v/>
      </c>
      <c r="E49" s="23" t="str">
        <f aca="false">IF(B49="","",C49-D49)</f>
        <v/>
      </c>
      <c r="F49" s="37" t="str">
        <f aca="false">IF(B49="","",CHOOSE(MATCH($C$7,{"Weekly","Every 2 weeks","Twice a month","Monthly"},0),B49+7,B49+14,IF(DAY(B49)&lt;15,DATE(YEAR(B49),MONTH(B49),15),DATE(YEAR(B49),MONTH(B49)+1,1)),EDATE(B49,1)))</f>
        <v/>
      </c>
    </row>
    <row r="50" customFormat="false" ht="15" hidden="false" customHeight="false" outlineLevel="0" collapsed="false">
      <c r="B50" s="36" t="str">
        <f aca="false">IF(F49="","",IF(F49&gt;DATE(BudgetYear,12,31),"",F49))</f>
        <v/>
      </c>
      <c r="C50" s="26" t="str">
        <f aca="false">IF(B50="","",$C$8)</f>
        <v/>
      </c>
      <c r="D50" s="22" t="str">
        <f aca="false">IF(B50="","",SUMPRODUCT((Bills!$C$7:$C$31&lt;&gt;"")*(DATE(YEAR(B50),MONTH(B50)+(DAY(B50)&gt;Bills!$C$7:$C$31),Bills!$C$7:$C$31)&lt;F50)*Bills!$D$7:$D$31))</f>
        <v/>
      </c>
      <c r="E50" s="23" t="str">
        <f aca="false">IF(B50="","",C50-D50)</f>
        <v/>
      </c>
      <c r="F50" s="37" t="str">
        <f aca="false">IF(B50="","",CHOOSE(MATCH($C$7,{"Weekly","Every 2 weeks","Twice a month","Monthly"},0),B50+7,B50+14,IF(DAY(B50)&lt;15,DATE(YEAR(B50),MONTH(B50),15),DATE(YEAR(B50),MONTH(B50)+1,1)),EDATE(B50,1)))</f>
        <v/>
      </c>
    </row>
    <row r="51" customFormat="false" ht="15" hidden="false" customHeight="false" outlineLevel="0" collapsed="false">
      <c r="B51" s="36" t="str">
        <f aca="false">IF(F50="","",IF(F50&gt;DATE(BudgetYear,12,31),"",F50))</f>
        <v/>
      </c>
      <c r="C51" s="26" t="str">
        <f aca="false">IF(B51="","",$C$8)</f>
        <v/>
      </c>
      <c r="D51" s="22" t="str">
        <f aca="false">IF(B51="","",SUMPRODUCT((Bills!$C$7:$C$31&lt;&gt;"")*(DATE(YEAR(B51),MONTH(B51)+(DAY(B51)&gt;Bills!$C$7:$C$31),Bills!$C$7:$C$31)&lt;F51)*Bills!$D$7:$D$31))</f>
        <v/>
      </c>
      <c r="E51" s="23" t="str">
        <f aca="false">IF(B51="","",C51-D51)</f>
        <v/>
      </c>
      <c r="F51" s="37" t="str">
        <f aca="false">IF(B51="","",CHOOSE(MATCH($C$7,{"Weekly","Every 2 weeks","Twice a month","Monthly"},0),B51+7,B51+14,IF(DAY(B51)&lt;15,DATE(YEAR(B51),MONTH(B51),15),DATE(YEAR(B51),MONTH(B51)+1,1)),EDATE(B51,1)))</f>
        <v/>
      </c>
    </row>
    <row r="52" customFormat="false" ht="15" hidden="false" customHeight="false" outlineLevel="0" collapsed="false">
      <c r="B52" s="36" t="str">
        <f aca="false">IF(F51="","",IF(F51&gt;DATE(BudgetYear,12,31),"",F51))</f>
        <v/>
      </c>
      <c r="C52" s="26" t="str">
        <f aca="false">IF(B52="","",$C$8)</f>
        <v/>
      </c>
      <c r="D52" s="22" t="str">
        <f aca="false">IF(B52="","",SUMPRODUCT((Bills!$C$7:$C$31&lt;&gt;"")*(DATE(YEAR(B52),MONTH(B52)+(DAY(B52)&gt;Bills!$C$7:$C$31),Bills!$C$7:$C$31)&lt;F52)*Bills!$D$7:$D$31))</f>
        <v/>
      </c>
      <c r="E52" s="23" t="str">
        <f aca="false">IF(B52="","",C52-D52)</f>
        <v/>
      </c>
      <c r="F52" s="37" t="str">
        <f aca="false">IF(B52="","",CHOOSE(MATCH($C$7,{"Weekly","Every 2 weeks","Twice a month","Monthly"},0),B52+7,B52+14,IF(DAY(B52)&lt;15,DATE(YEAR(B52),MONTH(B52),15),DATE(YEAR(B52),MONTH(B52)+1,1)),EDATE(B52,1)))</f>
        <v/>
      </c>
    </row>
    <row r="53" customFormat="false" ht="15" hidden="false" customHeight="false" outlineLevel="0" collapsed="false">
      <c r="B53" s="36" t="str">
        <f aca="false">IF(F52="","",IF(F52&gt;DATE(BudgetYear,12,31),"",F52))</f>
        <v/>
      </c>
      <c r="C53" s="26" t="str">
        <f aca="false">IF(B53="","",$C$8)</f>
        <v/>
      </c>
      <c r="D53" s="22" t="str">
        <f aca="false">IF(B53="","",SUMPRODUCT((Bills!$C$7:$C$31&lt;&gt;"")*(DATE(YEAR(B53),MONTH(B53)+(DAY(B53)&gt;Bills!$C$7:$C$31),Bills!$C$7:$C$31)&lt;F53)*Bills!$D$7:$D$31))</f>
        <v/>
      </c>
      <c r="E53" s="23" t="str">
        <f aca="false">IF(B53="","",C53-D53)</f>
        <v/>
      </c>
      <c r="F53" s="37" t="str">
        <f aca="false">IF(B53="","",CHOOSE(MATCH($C$7,{"Weekly","Every 2 weeks","Twice a month","Monthly"},0),B53+7,B53+14,IF(DAY(B53)&lt;15,DATE(YEAR(B53),MONTH(B53),15),DATE(YEAR(B53),MONTH(B53)+1,1)),EDATE(B53,1)))</f>
        <v/>
      </c>
    </row>
    <row r="54" customFormat="false" ht="15" hidden="false" customHeight="false" outlineLevel="0" collapsed="false">
      <c r="B54" s="36" t="str">
        <f aca="false">IF(F53="","",IF(F53&gt;DATE(BudgetYear,12,31),"",F53))</f>
        <v/>
      </c>
      <c r="C54" s="26" t="str">
        <f aca="false">IF(B54="","",$C$8)</f>
        <v/>
      </c>
      <c r="D54" s="22" t="str">
        <f aca="false">IF(B54="","",SUMPRODUCT((Bills!$C$7:$C$31&lt;&gt;"")*(DATE(YEAR(B54),MONTH(B54)+(DAY(B54)&gt;Bills!$C$7:$C$31),Bills!$C$7:$C$31)&lt;F54)*Bills!$D$7:$D$31))</f>
        <v/>
      </c>
      <c r="E54" s="23" t="str">
        <f aca="false">IF(B54="","",C54-D54)</f>
        <v/>
      </c>
      <c r="F54" s="37" t="str">
        <f aca="false">IF(B54="","",CHOOSE(MATCH($C$7,{"Weekly","Every 2 weeks","Twice a month","Monthly"},0),B54+7,B54+14,IF(DAY(B54)&lt;15,DATE(YEAR(B54),MONTH(B54),15),DATE(YEAR(B54),MONTH(B54)+1,1)),EDATE(B54,1)))</f>
        <v/>
      </c>
    </row>
    <row r="55" customFormat="false" ht="15" hidden="false" customHeight="false" outlineLevel="0" collapsed="false">
      <c r="B55" s="36" t="str">
        <f aca="false">IF(F54="","",IF(F54&gt;DATE(BudgetYear,12,31),"",F54))</f>
        <v/>
      </c>
      <c r="C55" s="26" t="str">
        <f aca="false">IF(B55="","",$C$8)</f>
        <v/>
      </c>
      <c r="D55" s="22" t="str">
        <f aca="false">IF(B55="","",SUMPRODUCT((Bills!$C$7:$C$31&lt;&gt;"")*(DATE(YEAR(B55),MONTH(B55)+(DAY(B55)&gt;Bills!$C$7:$C$31),Bills!$C$7:$C$31)&lt;F55)*Bills!$D$7:$D$31))</f>
        <v/>
      </c>
      <c r="E55" s="23" t="str">
        <f aca="false">IF(B55="","",C55-D55)</f>
        <v/>
      </c>
      <c r="F55" s="37" t="str">
        <f aca="false">IF(B55="","",CHOOSE(MATCH($C$7,{"Weekly","Every 2 weeks","Twice a month","Monthly"},0),B55+7,B55+14,IF(DAY(B55)&lt;15,DATE(YEAR(B55),MONTH(B55),15),DATE(YEAR(B55),MONTH(B55)+1,1)),EDATE(B55,1)))</f>
        <v/>
      </c>
    </row>
    <row r="56" customFormat="false" ht="15" hidden="false" customHeight="false" outlineLevel="0" collapsed="false">
      <c r="B56" s="36" t="str">
        <f aca="false">IF(F55="","",IF(F55&gt;DATE(BudgetYear,12,31),"",F55))</f>
        <v/>
      </c>
      <c r="C56" s="26" t="str">
        <f aca="false">IF(B56="","",$C$8)</f>
        <v/>
      </c>
      <c r="D56" s="22" t="str">
        <f aca="false">IF(B56="","",SUMPRODUCT((Bills!$C$7:$C$31&lt;&gt;"")*(DATE(YEAR(B56),MONTH(B56)+(DAY(B56)&gt;Bills!$C$7:$C$31),Bills!$C$7:$C$31)&lt;F56)*Bills!$D$7:$D$31))</f>
        <v/>
      </c>
      <c r="E56" s="23" t="str">
        <f aca="false">IF(B56="","",C56-D56)</f>
        <v/>
      </c>
      <c r="F56" s="37" t="str">
        <f aca="false">IF(B56="","",CHOOSE(MATCH($C$7,{"Weekly","Every 2 weeks","Twice a month","Monthly"},0),B56+7,B56+14,IF(DAY(B56)&lt;15,DATE(YEAR(B56),MONTH(B56),15),DATE(YEAR(B56),MONTH(B56)+1,1)),EDATE(B56,1)))</f>
        <v/>
      </c>
    </row>
    <row r="57" customFormat="false" ht="15" hidden="false" customHeight="false" outlineLevel="0" collapsed="false">
      <c r="B57" s="36" t="str">
        <f aca="false">IF(F56="","",IF(F56&gt;DATE(BudgetYear,12,31),"",F56))</f>
        <v/>
      </c>
      <c r="C57" s="26" t="str">
        <f aca="false">IF(B57="","",$C$8)</f>
        <v/>
      </c>
      <c r="D57" s="22" t="str">
        <f aca="false">IF(B57="","",SUMPRODUCT((Bills!$C$7:$C$31&lt;&gt;"")*(DATE(YEAR(B57),MONTH(B57)+(DAY(B57)&gt;Bills!$C$7:$C$31),Bills!$C$7:$C$31)&lt;F57)*Bills!$D$7:$D$31))</f>
        <v/>
      </c>
      <c r="E57" s="23" t="str">
        <f aca="false">IF(B57="","",C57-D57)</f>
        <v/>
      </c>
      <c r="F57" s="37" t="str">
        <f aca="false">IF(B57="","",CHOOSE(MATCH($C$7,{"Weekly","Every 2 weeks","Twice a month","Monthly"},0),B57+7,B57+14,IF(DAY(B57)&lt;15,DATE(YEAR(B57),MONTH(B57),15),DATE(YEAR(B57),MONTH(B57)+1,1)),EDATE(B57,1)))</f>
        <v/>
      </c>
    </row>
    <row r="58" customFormat="false" ht="15" hidden="false" customHeight="false" outlineLevel="0" collapsed="false">
      <c r="B58" s="36" t="str">
        <f aca="false">IF(F57="","",IF(F57&gt;DATE(BudgetYear,12,31),"",F57))</f>
        <v/>
      </c>
      <c r="C58" s="26" t="str">
        <f aca="false">IF(B58="","",$C$8)</f>
        <v/>
      </c>
      <c r="D58" s="22" t="str">
        <f aca="false">IF(B58="","",SUMPRODUCT((Bills!$C$7:$C$31&lt;&gt;"")*(DATE(YEAR(B58),MONTH(B58)+(DAY(B58)&gt;Bills!$C$7:$C$31),Bills!$C$7:$C$31)&lt;F58)*Bills!$D$7:$D$31))</f>
        <v/>
      </c>
      <c r="E58" s="23" t="str">
        <f aca="false">IF(B58="","",C58-D58)</f>
        <v/>
      </c>
      <c r="F58" s="37" t="str">
        <f aca="false">IF(B58="","",CHOOSE(MATCH($C$7,{"Weekly","Every 2 weeks","Twice a month","Monthly"},0),B58+7,B58+14,IF(DAY(B58)&lt;15,DATE(YEAR(B58),MONTH(B58),15),DATE(YEAR(B58),MONTH(B58)+1,1)),EDATE(B58,1)))</f>
        <v/>
      </c>
    </row>
    <row r="59" customFormat="false" ht="15" hidden="false" customHeight="false" outlineLevel="0" collapsed="false">
      <c r="B59" s="36" t="str">
        <f aca="false">IF(F58="","",IF(F58&gt;DATE(BudgetYear,12,31),"",F58))</f>
        <v/>
      </c>
      <c r="C59" s="26" t="str">
        <f aca="false">IF(B59="","",$C$8)</f>
        <v/>
      </c>
      <c r="D59" s="22" t="str">
        <f aca="false">IF(B59="","",SUMPRODUCT((Bills!$C$7:$C$31&lt;&gt;"")*(DATE(YEAR(B59),MONTH(B59)+(DAY(B59)&gt;Bills!$C$7:$C$31),Bills!$C$7:$C$31)&lt;F59)*Bills!$D$7:$D$31))</f>
        <v/>
      </c>
      <c r="E59" s="23" t="str">
        <f aca="false">IF(B59="","",C59-D59)</f>
        <v/>
      </c>
      <c r="F59" s="37" t="str">
        <f aca="false">IF(B59="","",CHOOSE(MATCH($C$7,{"Weekly","Every 2 weeks","Twice a month","Monthly"},0),B59+7,B59+14,IF(DAY(B59)&lt;15,DATE(YEAR(B59),MONTH(B59),15),DATE(YEAR(B59),MONTH(B59)+1,1)),EDATE(B59,1)))</f>
        <v/>
      </c>
    </row>
    <row r="60" customFormat="false" ht="15" hidden="false" customHeight="false" outlineLevel="0" collapsed="false">
      <c r="B60" s="36" t="str">
        <f aca="false">IF(F59="","",IF(F59&gt;DATE(BudgetYear,12,31),"",F59))</f>
        <v/>
      </c>
      <c r="C60" s="26" t="str">
        <f aca="false">IF(B60="","",$C$8)</f>
        <v/>
      </c>
      <c r="D60" s="22" t="str">
        <f aca="false">IF(B60="","",SUMPRODUCT((Bills!$C$7:$C$31&lt;&gt;"")*(DATE(YEAR(B60),MONTH(B60)+(DAY(B60)&gt;Bills!$C$7:$C$31),Bills!$C$7:$C$31)&lt;F60)*Bills!$D$7:$D$31))</f>
        <v/>
      </c>
      <c r="E60" s="23" t="str">
        <f aca="false">IF(B60="","",C60-D60)</f>
        <v/>
      </c>
      <c r="F60" s="37" t="str">
        <f aca="false">IF(B60="","",CHOOSE(MATCH($C$7,{"Weekly","Every 2 weeks","Twice a month","Monthly"},0),B60+7,B60+14,IF(DAY(B60)&lt;15,DATE(YEAR(B60),MONTH(B60),15),DATE(YEAR(B60),MONTH(B60)+1,1)),EDATE(B60,1)))</f>
        <v/>
      </c>
    </row>
    <row r="61" customFormat="false" ht="15" hidden="false" customHeight="false" outlineLevel="0" collapsed="false">
      <c r="B61" s="36" t="str">
        <f aca="false">IF(F60="","",IF(F60&gt;DATE(BudgetYear,12,31),"",F60))</f>
        <v/>
      </c>
      <c r="C61" s="26" t="str">
        <f aca="false">IF(B61="","",$C$8)</f>
        <v/>
      </c>
      <c r="D61" s="22" t="str">
        <f aca="false">IF(B61="","",SUMPRODUCT((Bills!$C$7:$C$31&lt;&gt;"")*(DATE(YEAR(B61),MONTH(B61)+(DAY(B61)&gt;Bills!$C$7:$C$31),Bills!$C$7:$C$31)&lt;F61)*Bills!$D$7:$D$31))</f>
        <v/>
      </c>
      <c r="E61" s="23" t="str">
        <f aca="false">IF(B61="","",C61-D61)</f>
        <v/>
      </c>
      <c r="F61" s="37" t="str">
        <f aca="false">IF(B61="","",CHOOSE(MATCH($C$7,{"Weekly","Every 2 weeks","Twice a month","Monthly"},0),B61+7,B61+14,IF(DAY(B61)&lt;15,DATE(YEAR(B61),MONTH(B61),15),DATE(YEAR(B61),MONTH(B61)+1,1)),EDATE(B61,1)))</f>
        <v/>
      </c>
    </row>
    <row r="62" customFormat="false" ht="15" hidden="false" customHeight="false" outlineLevel="0" collapsed="false">
      <c r="B62" s="36" t="str">
        <f aca="false">IF(F61="","",IF(F61&gt;DATE(BudgetYear,12,31),"",F61))</f>
        <v/>
      </c>
      <c r="C62" s="26" t="str">
        <f aca="false">IF(B62="","",$C$8)</f>
        <v/>
      </c>
      <c r="D62" s="22" t="str">
        <f aca="false">IF(B62="","",SUMPRODUCT((Bills!$C$7:$C$31&lt;&gt;"")*(DATE(YEAR(B62),MONTH(B62)+(DAY(B62)&gt;Bills!$C$7:$C$31),Bills!$C$7:$C$31)&lt;F62)*Bills!$D$7:$D$31))</f>
        <v/>
      </c>
      <c r="E62" s="23" t="str">
        <f aca="false">IF(B62="","",C62-D62)</f>
        <v/>
      </c>
      <c r="F62" s="37" t="str">
        <f aca="false">IF(B62="","",CHOOSE(MATCH($C$7,{"Weekly","Every 2 weeks","Twice a month","Monthly"},0),B62+7,B62+14,IF(DAY(B62)&lt;15,DATE(YEAR(B62),MONTH(B62),15),DATE(YEAR(B62),MONTH(B62)+1,1)),EDATE(B62,1)))</f>
        <v/>
      </c>
    </row>
    <row r="63" customFormat="false" ht="15" hidden="false" customHeight="false" outlineLevel="0" collapsed="false">
      <c r="B63" s="36" t="str">
        <f aca="false">IF(F62="","",IF(F62&gt;DATE(BudgetYear,12,31),"",F62))</f>
        <v/>
      </c>
      <c r="C63" s="26" t="str">
        <f aca="false">IF(B63="","",$C$8)</f>
        <v/>
      </c>
      <c r="D63" s="22" t="str">
        <f aca="false">IF(B63="","",SUMPRODUCT((Bills!$C$7:$C$31&lt;&gt;"")*(DATE(YEAR(B63),MONTH(B63)+(DAY(B63)&gt;Bills!$C$7:$C$31),Bills!$C$7:$C$31)&lt;F63)*Bills!$D$7:$D$31))</f>
        <v/>
      </c>
      <c r="E63" s="23" t="str">
        <f aca="false">IF(B63="","",C63-D63)</f>
        <v/>
      </c>
      <c r="F63" s="37" t="str">
        <f aca="false">IF(B63="","",CHOOSE(MATCH($C$7,{"Weekly","Every 2 weeks","Twice a month","Monthly"},0),B63+7,B63+14,IF(DAY(B63)&lt;15,DATE(YEAR(B63),MONTH(B63),15),DATE(YEAR(B63),MONTH(B63)+1,1)),EDATE(B63,1)))</f>
        <v/>
      </c>
    </row>
    <row r="64" customFormat="false" ht="15" hidden="false" customHeight="false" outlineLevel="0" collapsed="false">
      <c r="B64" s="36" t="str">
        <f aca="false">IF(F63="","",IF(F63&gt;DATE(BudgetYear,12,31),"",F63))</f>
        <v/>
      </c>
      <c r="C64" s="26" t="str">
        <f aca="false">IF(B64="","",$C$8)</f>
        <v/>
      </c>
      <c r="D64" s="22" t="str">
        <f aca="false">IF(B64="","",SUMPRODUCT((Bills!$C$7:$C$31&lt;&gt;"")*(DATE(YEAR(B64),MONTH(B64)+(DAY(B64)&gt;Bills!$C$7:$C$31),Bills!$C$7:$C$31)&lt;F64)*Bills!$D$7:$D$31))</f>
        <v/>
      </c>
      <c r="E64" s="23" t="str">
        <f aca="false">IF(B64="","",C64-D64)</f>
        <v/>
      </c>
      <c r="F64" s="37" t="str">
        <f aca="false">IF(B64="","",CHOOSE(MATCH($C$7,{"Weekly","Every 2 weeks","Twice a month","Monthly"},0),B64+7,B64+14,IF(DAY(B64)&lt;15,DATE(YEAR(B64),MONTH(B64),15),DATE(YEAR(B64),MONTH(B64)+1,1)),EDATE(B64,1)))</f>
        <v/>
      </c>
    </row>
  </sheetData>
  <sheetProtection sheet="true" formatColumns="false" formatRows="false" insertRows="false" sort="false" autoFilter="false"/>
  <conditionalFormatting sqref="E11:E64">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8"/>
    <col collapsed="false" customWidth="true" hidden="false" outlineLevel="0" max="8" min="8" style="0" width="21"/>
    <col collapsed="false" customWidth="true" hidden="false" outlineLevel="0" max="9" min="9" style="0" width="19"/>
    <col collapsed="false" customWidth="true" hidden="false" outlineLevel="0" max="10" min="10" style="0" width="16"/>
    <col collapsed="false" customWidth="true" hidden="false" outlineLevel="0" max="29" min="11" style="0" width="14"/>
  </cols>
  <sheetData>
    <row r="2" customFormat="false" ht="33.75" hidden="false" customHeight="true" outlineLevel="0" collapsed="false">
      <c r="B2" s="1" t="s">
        <v>149</v>
      </c>
    </row>
    <row r="3" customFormat="false" ht="15" hidden="false" customHeight="false" outlineLevel="0" collapsed="false">
      <c r="B3" s="2" t="s">
        <v>150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151</v>
      </c>
      <c r="C6" s="17" t="s">
        <v>152</v>
      </c>
    </row>
    <row r="7" customFormat="false" ht="15" hidden="false" customHeight="false" outlineLevel="0" collapsed="false">
      <c r="B7" s="19" t="s">
        <v>153</v>
      </c>
      <c r="C7" s="26" t="n">
        <v>100</v>
      </c>
      <c r="D7" s="28" t="s">
        <v>154</v>
      </c>
    </row>
    <row r="9" customFormat="false" ht="19.5" hidden="false" customHeight="true" outlineLevel="0" collapsed="false">
      <c r="B9" s="10" t="s">
        <v>8</v>
      </c>
      <c r="C9" s="10" t="s">
        <v>155</v>
      </c>
      <c r="D9" s="10" t="s">
        <v>156</v>
      </c>
      <c r="E9" s="10" t="s">
        <v>157</v>
      </c>
      <c r="F9" s="10" t="s">
        <v>158</v>
      </c>
      <c r="G9" s="10" t="s">
        <v>159</v>
      </c>
      <c r="H9" s="10" t="s">
        <v>160</v>
      </c>
      <c r="I9" s="10" t="s">
        <v>161</v>
      </c>
      <c r="J9" s="10" t="s">
        <v>162</v>
      </c>
    </row>
    <row r="10" customFormat="false" ht="15" hidden="false" customHeight="false" outlineLevel="0" collapsed="false">
      <c r="B10" s="17" t="s">
        <v>163</v>
      </c>
      <c r="C10" s="26" t="n">
        <v>600</v>
      </c>
      <c r="D10" s="38" t="n">
        <v>0.1999</v>
      </c>
      <c r="E10" s="26" t="n">
        <v>40</v>
      </c>
      <c r="F10" s="39" t="n">
        <f aca="false">IF(C10="","",IF($C$6="Snowball",COUNTIFS($C$10:$C$19,"&lt;"&amp;C10,$C$10:$C$19,"&lt;&gt;")+1,COUNTIFS($D$10:$D$19,"&gt;"&amp;D10,$C$10:$C$19,"&lt;&gt;")+1))</f>
        <v>1</v>
      </c>
      <c r="G10" s="39" t="n">
        <f aca="false">IF(OR(C10="",E10=""),"",IFERROR(ROUNDUP(NPER(D10/12,-E10,C10),0),"never: raise the minimum"))</f>
        <v>18</v>
      </c>
      <c r="H10" s="22" t="n">
        <f aca="false">IF(OR(C10="",E10="",NOT(ISNUMBER(G10))),"",G10*E10-C10)</f>
        <v>120</v>
      </c>
      <c r="I10" s="39" t="n">
        <f aca="false">IF(OR(C10="",E10="",F10&lt;&gt;1),"",IFERROR(ROUNDUP(NPER(D10/12,-(E10+$C$7),C10),0),""))</f>
        <v>5</v>
      </c>
      <c r="J10" s="22" t="n">
        <f aca="false">IF(OR(I10="",NOT(ISNUMBER(H10))),"",MAX(0,H10-(I10*(E10+$C$7)-C10)))</f>
        <v>20</v>
      </c>
    </row>
    <row r="11" customFormat="false" ht="15" hidden="false" customHeight="false" outlineLevel="0" collapsed="false">
      <c r="B11" s="17" t="s">
        <v>95</v>
      </c>
      <c r="C11" s="26" t="n">
        <v>2400</v>
      </c>
      <c r="D11" s="38" t="n">
        <v>0.2499</v>
      </c>
      <c r="E11" s="26" t="n">
        <v>75</v>
      </c>
      <c r="F11" s="39" t="n">
        <f aca="false">IF(C11="","",IF($C$6="Snowball",COUNTIFS($C$10:$C$19,"&lt;"&amp;C11,$C$10:$C$19,"&lt;&gt;")+1,COUNTIFS($D$10:$D$19,"&gt;"&amp;D11,$C$10:$C$19,"&lt;&gt;")+1))</f>
        <v>2</v>
      </c>
      <c r="G11" s="39" t="n">
        <f aca="false">IF(OR(C11="",E11=""),"",IFERROR(ROUNDUP(NPER(D11/12,-E11,C11),0),"never: raise the minimum"))</f>
        <v>54</v>
      </c>
      <c r="H11" s="22" t="n">
        <f aca="false">IF(OR(C11="",E11="",NOT(ISNUMBER(G11))),"",G11*E11-C11)</f>
        <v>1650</v>
      </c>
      <c r="I11" s="39" t="str">
        <f aca="false">IF(OR(C11="",E11="",F11&lt;&gt;1),"",IFERROR(ROUNDUP(NPER(D11/12,-(E11+$C$7),C11),0),""))</f>
        <v/>
      </c>
      <c r="J11" s="22" t="str">
        <f aca="false">IF(OR(I11="",NOT(ISNUMBER(H11))),"",MAX(0,H11-(I11*(E11+$C$7)-C11)))</f>
        <v/>
      </c>
    </row>
    <row r="12" customFormat="false" ht="15" hidden="false" customHeight="false" outlineLevel="0" collapsed="false">
      <c r="B12" s="17" t="s">
        <v>164</v>
      </c>
      <c r="C12" s="26" t="n">
        <v>8200</v>
      </c>
      <c r="D12" s="38" t="n">
        <v>0.069</v>
      </c>
      <c r="E12" s="26" t="n">
        <v>210</v>
      </c>
      <c r="F12" s="39" t="n">
        <f aca="false">IF(C12="","",IF($C$6="Snowball",COUNTIFS($C$10:$C$19,"&lt;"&amp;C12,$C$10:$C$19,"&lt;&gt;")+1,COUNTIFS($D$10:$D$19,"&gt;"&amp;D12,$C$10:$C$19,"&lt;&gt;")+1))</f>
        <v>3</v>
      </c>
      <c r="G12" s="39" t="n">
        <f aca="false">IF(OR(C12="",E12=""),"",IFERROR(ROUNDUP(NPER(D12/12,-E12,C12),0),"never: raise the minimum"))</f>
        <v>45</v>
      </c>
      <c r="H12" s="22" t="n">
        <f aca="false">IF(OR(C12="",E12="",NOT(ISNUMBER(G12))),"",G12*E12-C12)</f>
        <v>1250</v>
      </c>
      <c r="I12" s="39" t="str">
        <f aca="false">IF(OR(C12="",E12="",F12&lt;&gt;1),"",IFERROR(ROUNDUP(NPER(D12/12,-(E12+$C$7),C12),0),""))</f>
        <v/>
      </c>
      <c r="J12" s="22" t="str">
        <f aca="false">IF(OR(I12="",NOT(ISNUMBER(H12))),"",MAX(0,H12-(I12*(E12+$C$7)-C12)))</f>
        <v/>
      </c>
    </row>
    <row r="13" customFormat="false" ht="15" hidden="false" customHeight="false" outlineLevel="0" collapsed="false">
      <c r="B13" s="17" t="s">
        <v>96</v>
      </c>
      <c r="C13" s="26" t="n">
        <v>14500</v>
      </c>
      <c r="D13" s="38" t="n">
        <v>0.055</v>
      </c>
      <c r="E13" s="26" t="n">
        <v>180</v>
      </c>
      <c r="F13" s="39" t="n">
        <f aca="false">IF(C13="","",IF($C$6="Snowball",COUNTIFS($C$10:$C$19,"&lt;"&amp;C13,$C$10:$C$19,"&lt;&gt;")+1,COUNTIFS($D$10:$D$19,"&gt;"&amp;D13,$C$10:$C$19,"&lt;&gt;")+1))</f>
        <v>4</v>
      </c>
      <c r="G13" s="39" t="n">
        <f aca="false">IF(OR(C13="",E13=""),"",IFERROR(ROUNDUP(NPER(D13/12,-E13,C13),0),"never: raise the minimum"))</f>
        <v>101</v>
      </c>
      <c r="H13" s="22" t="n">
        <f aca="false">IF(OR(C13="",E13="",NOT(ISNUMBER(G13))),"",G13*E13-C13)</f>
        <v>3680</v>
      </c>
      <c r="I13" s="39" t="str">
        <f aca="false">IF(OR(C13="",E13="",F13&lt;&gt;1),"",IFERROR(ROUNDUP(NPER(D13/12,-(E13+$C$7),C13),0),""))</f>
        <v/>
      </c>
      <c r="J13" s="22" t="str">
        <f aca="false">IF(OR(I13="",NOT(ISNUMBER(H13))),"",MAX(0,H13-(I13*(E13+$C$7)-C13)))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c r="I14" s="39" t="str">
        <f aca="false">IF(OR(C14="",E14="",F14&lt;&gt;1),"",IFERROR(ROUNDUP(NPER(D14/12,-(E14+$C$7),C14),0),""))</f>
        <v/>
      </c>
      <c r="J14" s="22" t="str">
        <f aca="false">IF(OR(I14="",NOT(ISNUMBER(H14))),"",MAX(0,H14-(I14*(E14+$C$7)-C14)))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c r="I15" s="39" t="str">
        <f aca="false">IF(OR(C15="",E15="",F15&lt;&gt;1),"",IFERROR(ROUNDUP(NPER(D15/12,-(E15+$C$7),C15),0),""))</f>
        <v/>
      </c>
      <c r="J15" s="22" t="str">
        <f aca="false">IF(OR(I15="",NOT(ISNUMBER(H15))),"",MAX(0,H15-(I15*(E15+$C$7)-C15)))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c r="I16" s="39" t="str">
        <f aca="false">IF(OR(C16="",E16="",F16&lt;&gt;1),"",IFERROR(ROUNDUP(NPER(D16/12,-(E16+$C$7),C16),0),""))</f>
        <v/>
      </c>
      <c r="J16" s="22" t="str">
        <f aca="false">IF(OR(I16="",NOT(ISNUMBER(H16))),"",MAX(0,H16-(I16*(E16+$C$7)-C16)))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c r="I17" s="39" t="str">
        <f aca="false">IF(OR(C17="",E17="",F17&lt;&gt;1),"",IFERROR(ROUNDUP(NPER(D17/12,-(E17+$C$7),C17),0),""))</f>
        <v/>
      </c>
      <c r="J17" s="22" t="str">
        <f aca="false">IF(OR(I17="",NOT(ISNUMBER(H17))),"",MAX(0,H17-(I17*(E17+$C$7)-C17)))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c r="I18" s="39" t="str">
        <f aca="false">IF(OR(C18="",E18="",F18&lt;&gt;1),"",IFERROR(ROUNDUP(NPER(D18/12,-(E18+$C$7),C18),0),""))</f>
        <v/>
      </c>
      <c r="J18" s="22" t="str">
        <f aca="false">IF(OR(I18="",NOT(ISNUMBER(H18))),"",MAX(0,H18-(I18*(E18+$C$7)-C18)))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c r="I19" s="39" t="str">
        <f aca="false">IF(OR(C19="",E19="",F19&lt;&gt;1),"",IFERROR(ROUNDUP(NPER(D19/12,-(E19+$C$7),C19),0),""))</f>
        <v/>
      </c>
      <c r="J19" s="22" t="str">
        <f aca="false">IF(OR(I19="",NOT(ISNUMBER(H19))),"",MAX(0,H19-(I19*(E19+$C$7)-C19)))</f>
        <v/>
      </c>
    </row>
    <row r="20" customFormat="false" ht="15" hidden="false" customHeight="false" outlineLevel="0" collapsed="false">
      <c r="B20" s="19" t="s">
        <v>165</v>
      </c>
      <c r="C20" s="23" t="n">
        <f aca="false">SUM(C10:C19)</f>
        <v>25700</v>
      </c>
      <c r="E20" s="23" t="n">
        <f aca="false">SUM(E10:E19)</f>
        <v>505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166</v>
      </c>
    </row>
    <row r="3" customFormat="false" ht="15" hidden="false" customHeight="false" outlineLevel="0" collapsed="false">
      <c r="B3" s="2" t="s">
        <v>167</v>
      </c>
    </row>
    <row r="4" customFormat="false" ht="15" hidden="false" customHeight="false" outlineLevel="0" collapsed="false">
      <c r="B4" s="3" t="s">
        <v>2</v>
      </c>
      <c r="C4" s="3" t="s">
        <v>3</v>
      </c>
      <c r="D4" s="3" t="s">
        <v>4</v>
      </c>
      <c r="E4" s="3" t="s">
        <v>5</v>
      </c>
      <c r="F4" s="3" t="s">
        <v>6</v>
      </c>
      <c r="G4" s="3" t="s">
        <v>7</v>
      </c>
      <c r="H4" s="3" t="s">
        <v>8</v>
      </c>
      <c r="I4" s="3" t="s">
        <v>9</v>
      </c>
    </row>
    <row r="6" customFormat="false" ht="19.5" hidden="false" customHeight="true" outlineLevel="0" collapsed="false">
      <c r="B6" s="10" t="s">
        <v>168</v>
      </c>
      <c r="C6" s="10" t="s">
        <v>169</v>
      </c>
      <c r="D6" s="10" t="s">
        <v>170</v>
      </c>
      <c r="E6" s="10" t="s">
        <v>171</v>
      </c>
      <c r="F6" s="10" t="s">
        <v>172</v>
      </c>
      <c r="G6" s="10" t="s">
        <v>173</v>
      </c>
      <c r="H6" s="10" t="s">
        <v>174</v>
      </c>
    </row>
    <row r="7" customFormat="false" ht="15" hidden="false" customHeight="false" outlineLevel="0" collapsed="false">
      <c r="B7" s="17" t="s">
        <v>92</v>
      </c>
      <c r="C7" s="26" t="n">
        <v>5000</v>
      </c>
      <c r="D7" s="26" t="n">
        <v>1200</v>
      </c>
      <c r="E7" s="32" t="n">
        <f aca="false">IF(OR(C7="",C7=0),"",MIN(1,D7/C7))</f>
        <v>0.24</v>
      </c>
      <c r="F7" s="40" t="n">
        <v>46722</v>
      </c>
      <c r="G7" s="22" t="n">
        <f aca="true">IF(OR(C7="",F7=""),"",IF(D7&gt;=C7,"Reached",IF(((YEAR(F7)-YEAR(TODAY()))*12+MONTH(F7)-MONTH(TODAY()))&lt;0,"Date passed: pick a new one",(C7-D7)/MAX(1,((YEAR(F7)-YEAR(TODAY()))*12+MONTH(F7)-MONTH(TODAY()))))))</f>
        <v>271.428571428571</v>
      </c>
      <c r="H7" s="41" t="str">
        <f aca="false">IF(E7="","",REPT("█",ROUND(MIN(1,MAX(0,E7))*10,0))&amp;REPT("░",10-ROUND(MIN(1,MAX(0,E7))*10,0)))</f>
        <v>██░░░░░░░░</v>
      </c>
    </row>
    <row r="8" customFormat="false" ht="15" hidden="false" customHeight="false" outlineLevel="0" collapsed="false">
      <c r="B8" s="17" t="s">
        <v>175</v>
      </c>
      <c r="C8" s="26" t="n">
        <v>1800</v>
      </c>
      <c r="D8" s="26" t="n">
        <v>450</v>
      </c>
      <c r="E8" s="32" t="n">
        <f aca="false">IF(OR(C8="",C8=0),"",MIN(1,D8/C8))</f>
        <v>0.25</v>
      </c>
      <c r="F8" s="40" t="n">
        <v>46569</v>
      </c>
      <c r="G8" s="22" t="n">
        <f aca="true">IF(OR(C8="",F8=""),"",IF(D8&gt;=C8,"Reached",IF(((YEAR(F8)-YEAR(TODAY()))*12+MONTH(F8)-MONTH(TODAY()))&lt;0,"Date passed: pick a new one",(C8-D8)/MAX(1,((YEAR(F8)-YEAR(TODAY()))*12+MONTH(F8)-MONTH(TODAY()))))))</f>
        <v>150</v>
      </c>
      <c r="H8" s="41" t="str">
        <f aca="false">IF(E8="","",REPT("█",ROUND(MIN(1,MAX(0,E8))*10,0))&amp;REPT("░",10-ROUND(MIN(1,MAX(0,E8))*10,0)))</f>
        <v>███░░░░░░░</v>
      </c>
    </row>
    <row r="9" customFormat="false" ht="15" hidden="false" customHeight="false" outlineLevel="0" collapsed="false">
      <c r="B9" s="17" t="s">
        <v>176</v>
      </c>
      <c r="C9" s="26" t="n">
        <v>1200</v>
      </c>
      <c r="D9" s="26" t="n">
        <v>300</v>
      </c>
      <c r="E9" s="32" t="n">
        <f aca="false">IF(OR(C9="",C9=0),"",MIN(1,D9/C9))</f>
        <v>0.25</v>
      </c>
      <c r="F9" s="40" t="n">
        <v>46631</v>
      </c>
      <c r="G9" s="22" t="n">
        <f aca="true">IF(OR(C9="",F9=""),"",IF(D9&gt;=C9,"Reached",IF(((YEAR(F9)-YEAR(TODAY()))*12+MONTH(F9)-MONTH(TODAY()))&lt;0,"Date passed: pick a new one",(C9-D9)/MAX(1,((YEAR(F9)-YEAR(TODAY()))*12+MONTH(F9)-MONTH(TODAY()))))))</f>
        <v>81.8181818181818</v>
      </c>
      <c r="H9" s="41" t="str">
        <f aca="false">IF(E9="","",REPT("█",ROUND(MIN(1,MAX(0,E9))*10,0))&amp;REPT("░",10-ROUND(MIN(1,MAX(0,E9))*10,0)))</f>
        <v>███░░░░░░░</v>
      </c>
    </row>
    <row r="10" customFormat="false" ht="15" hidden="false" customHeight="false" outlineLevel="0" collapsed="false">
      <c r="B10" s="17"/>
      <c r="C10" s="26"/>
      <c r="D10" s="26"/>
      <c r="E10" s="32" t="str">
        <f aca="false">IF(OR(C10="",C10=0),"",MIN(1,D10/C10))</f>
        <v/>
      </c>
      <c r="F10" s="40"/>
      <c r="G10" s="22" t="str">
        <f aca="true">IF(OR(C10="",F10=""),"",IF(D10&gt;=C10,"Reached",IF(((YEAR(F10)-YEAR(TODAY()))*12+MONTH(F10)-MONTH(TODAY()))&lt;0,"Date passed: pick a new one",(C10-D10)/MAX(1,((YEAR(F10)-YEAR(TODAY()))*12+MONTH(F10)-MONTH(TODAY()))))))</f>
        <v/>
      </c>
      <c r="H10" s="41" t="str">
        <f aca="false">IF(E10="","",REPT("█",ROUND(MIN(1,MAX(0,E10))*10,0))&amp;REPT("░",10-ROUND(MIN(1,MAX(0,E10))*10,0)))</f>
        <v/>
      </c>
    </row>
    <row r="11" customFormat="false" ht="15" hidden="false" customHeight="false" outlineLevel="0" collapsed="false">
      <c r="B11" s="17"/>
      <c r="C11" s="26"/>
      <c r="D11" s="26"/>
      <c r="E11" s="32" t="str">
        <f aca="false">IF(OR(C11="",C11=0),"",MIN(1,D11/C11))</f>
        <v/>
      </c>
      <c r="F11" s="40"/>
      <c r="G11" s="22" t="str">
        <f aca="true">IF(OR(C11="",F11=""),"",IF(D11&gt;=C11,"Reached",IF(((YEAR(F11)-YEAR(TODAY()))*12+MONTH(F11)-MONTH(TODAY()))&lt;0,"Date passed: pick a new one",(C11-D11)/MAX(1,((YEAR(F11)-YEAR(TODAY()))*12+MONTH(F11)-MONTH(TODAY()))))))</f>
        <v/>
      </c>
      <c r="H11" s="41" t="str">
        <f aca="false">IF(E11="","",REPT("█",ROUND(MIN(1,MAX(0,E11))*10,0))&amp;REPT("░",10-ROUND(MIN(1,MAX(0,E11))*10,0)))</f>
        <v/>
      </c>
    </row>
    <row r="12" customFormat="false" ht="15" hidden="false" customHeight="false" outlineLevel="0" collapsed="false">
      <c r="B12" s="17"/>
      <c r="C12" s="26"/>
      <c r="D12" s="26"/>
      <c r="E12" s="32" t="str">
        <f aca="false">IF(OR(C12="",C12=0),"",MIN(1,D12/C12))</f>
        <v/>
      </c>
      <c r="F12" s="40"/>
      <c r="G12" s="22" t="str">
        <f aca="true">IF(OR(C12="",F12=""),"",IF(D12&gt;=C12,"Reached",IF(((YEAR(F12)-YEAR(TODAY()))*12+MONTH(F12)-MONTH(TODAY()))&lt;0,"Date passed: pick a new one",(C12-D12)/MAX(1,((YEAR(F12)-YEAR(TODAY()))*12+MONTH(F12)-MONTH(TODAY()))))))</f>
        <v/>
      </c>
      <c r="H12" s="41" t="str">
        <f aca="false">IF(E12="","",REPT("█",ROUND(MIN(1,MAX(0,E12))*10,0))&amp;REPT("░",10-ROUND(MIN(1,MAX(0,E12))*10,0)))</f>
        <v/>
      </c>
    </row>
    <row r="13" customFormat="false" ht="15" hidden="false" customHeight="false" outlineLevel="0" collapsed="false">
      <c r="B13" s="17"/>
      <c r="C13" s="26"/>
      <c r="D13" s="26"/>
      <c r="E13" s="32" t="str">
        <f aca="false">IF(OR(C13="",C13=0),"",MIN(1,D13/C13))</f>
        <v/>
      </c>
      <c r="F13" s="40"/>
      <c r="G13" s="22" t="str">
        <f aca="true">IF(OR(C13="",F13=""),"",IF(D13&gt;=C13,"Reached",IF(((YEAR(F13)-YEAR(TODAY()))*12+MONTH(F13)-MONTH(TODAY()))&lt;0,"Date passed: pick a new one",(C13-D13)/MAX(1,((YEAR(F13)-YEAR(TODAY()))*12+MONTH(F13)-MONTH(TODAY()))))))</f>
        <v/>
      </c>
      <c r="H13" s="41" t="str">
        <f aca="false">IF(E13="","",REPT("█",ROUND(MIN(1,MAX(0,E13))*10,0))&amp;REPT("░",10-ROUND(MIN(1,MAX(0,E13))*10,0)))</f>
        <v/>
      </c>
    </row>
    <row r="14" customFormat="false" ht="15" hidden="false" customHeight="false" outlineLevel="0" collapsed="false">
      <c r="B14" s="17"/>
      <c r="C14" s="26"/>
      <c r="D14" s="26"/>
      <c r="E14" s="32" t="str">
        <f aca="false">IF(OR(C14="",C14=0),"",MIN(1,D14/C14))</f>
        <v/>
      </c>
      <c r="F14" s="40"/>
      <c r="G14" s="22" t="str">
        <f aca="true">IF(OR(C14="",F14=""),"",IF(D14&gt;=C14,"Reached",IF(((YEAR(F14)-YEAR(TODAY()))*12+MONTH(F14)-MONTH(TODAY()))&lt;0,"Date passed: pick a new one",(C14-D14)/MAX(1,((YEAR(F14)-YEAR(TODAY()))*12+MONTH(F14)-MONTH(TODAY()))))))</f>
        <v/>
      </c>
      <c r="H14" s="41" t="str">
        <f aca="false">IF(E14="","",REPT("█",ROUND(MIN(1,MAX(0,E14))*10,0))&amp;REPT("░",10-ROUND(MIN(1,MAX(0,E14))*10,0)))</f>
        <v/>
      </c>
    </row>
    <row r="15" customFormat="false" ht="15" hidden="false" customHeight="false" outlineLevel="0" collapsed="false">
      <c r="B15" s="17"/>
      <c r="C15" s="26"/>
      <c r="D15" s="26"/>
      <c r="E15" s="32" t="str">
        <f aca="false">IF(OR(C15="",C15=0),"",MIN(1,D15/C15))</f>
        <v/>
      </c>
      <c r="F15" s="40"/>
      <c r="G15" s="22" t="str">
        <f aca="true">IF(OR(C15="",F15=""),"",IF(D15&gt;=C15,"Reached",IF(((YEAR(F15)-YEAR(TODAY()))*12+MONTH(F15)-MONTH(TODAY()))&lt;0,"Date passed: pick a new one",(C15-D15)/MAX(1,((YEAR(F15)-YEAR(TODAY()))*12+MONTH(F15)-MONTH(TODAY()))))))</f>
        <v/>
      </c>
      <c r="H15" s="41" t="str">
        <f aca="false">IF(E15="","",REPT("█",ROUND(MIN(1,MAX(0,E15))*10,0))&amp;REPT("░",10-ROUND(MIN(1,MAX(0,E15))*10,0)))</f>
        <v/>
      </c>
    </row>
    <row r="16" customFormat="false" ht="15" hidden="false" customHeight="false" outlineLevel="0" collapsed="false">
      <c r="B16" s="17"/>
      <c r="C16" s="26"/>
      <c r="D16" s="26"/>
      <c r="E16" s="32" t="str">
        <f aca="false">IF(OR(C16="",C16=0),"",MIN(1,D16/C16))</f>
        <v/>
      </c>
      <c r="F16" s="40"/>
      <c r="G16" s="22" t="str">
        <f aca="true">IF(OR(C16="",F16=""),"",IF(D16&gt;=C16,"Reached",IF(((YEAR(F16)-YEAR(TODAY()))*12+MONTH(F16)-MONTH(TODAY()))&lt;0,"Date passed: pick a new one",(C16-D16)/MAX(1,((YEAR(F16)-YEAR(TODAY()))*12+MONTH(F16)-MONTH(TODAY()))))))</f>
        <v/>
      </c>
      <c r="H16" s="41" t="str">
        <f aca="false">IF(E16="","",REPT("█",ROUND(MIN(1,MAX(0,E16))*10,0))&amp;REPT("░",10-ROUND(MIN(1,MAX(0,E16))*10,0)))</f>
        <v/>
      </c>
    </row>
  </sheetData>
  <sheetProtection sheet="true" formatColumns="false" formatRows="false" insertRows="false" sort="false" autoFilter="false"/>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2026-10-22T08:18:49Z</dcterms:created>
  <dc:creator>openpyxl</dc:creator>
  <dc:description/>
  <dc:language>en-US</dc:language>
  <cp:lastModifiedBy/>
  <dcterms:modified xsi:type="dcterms:W3CDTF">2026-10-22T08:18:50Z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