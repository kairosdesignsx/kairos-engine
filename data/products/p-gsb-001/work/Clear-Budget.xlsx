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name="Categories" vbProcedure="false">Setup!$E$10:$E$39</definedName>
    <definedName function="false" hidden="false" name="Year" vbProcedure="false">Setup!$C$6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<sst xmlns="http://schemas.openxmlformats.org/spreadsheetml/2006/main" count="581" uniqueCount="174">
  <si>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</si>
  <si>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</si>
  <si>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</si>
  <si>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</si>
  <si>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</si>
  <si>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</si>
  <si>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</si>
  <si>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</si>
  <si>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</si>
  <si>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</si>
  <si>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</si>
  <si>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</si>
  <si>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</si>
  <si>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</si>
  <si>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</si>
  <si>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</si>
  <si>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</si>
  <si>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</si>
  <si>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</si>
  <si>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</si>
  <si>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</si>
  <si>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</si>
  <si>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</si>
  <si>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</si>
  <si>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</si>
  <si>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</si>
  <si>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</si>
  <si>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</si>
  <si>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</si>
  <si>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</si>
  <si>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</si>
  <si>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</si>
  <si>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</si>
  <si>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</si>
  <si>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</si>
  <si>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</si>
  <si>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</si>
  <si>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</si>
  <si>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</si>
  <si>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</si>
  <si>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</si>
  <si>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</si>
  <si>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</si>
  <si>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</si>
  <si>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</si>
  <si>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</si>
  <si>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</si>
  <si>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</si>
  <si>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</si>
  <si>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</si>
  <si>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</si>
  <si>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</si>
  <si>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</si>
  <si>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</si>
  <si>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</si>
  <si>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</si>
  <si>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</si>
  <si>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</si>
  <si>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</si>
  <si>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</si>
  <si>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</si>
  <si>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</si>
  <si>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</si>
  <si>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</si>
  <si>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</si>
  <si>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</si>
  <si>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</si>
  <si>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</si>
  <si>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</si>
  <si>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</si>
  <si>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</si>
  <si>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</si>
  <si>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</si>
  <si>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</si>
  <si>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</si>
  <si>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</si>
  <si>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</si>
  <si>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</si>
  <si>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</si>
  <si>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</si>
  <si>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</si>
  <si>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</si>
  <si>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</si>
  <si>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</si>
  <si>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</si>
  <si>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</si>
  <si>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</si>
  <si>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</si>
  <si>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</si>
  <si>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</si>
  <si>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</si>
  <si>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</si>
  <si>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</si>
  <si>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</si>
  <si>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</si>
  <si>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</si>
  <si>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</si>
  <si>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</si>
  <si>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</si>
  <si>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</si>
  <si>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</si>
  <si>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</si>
  <si>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</si>
  <si>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</si>
  <si>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</si>
  <si>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</si>
  <si>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</si>
  <si>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</si>
  <si>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</si>
  <si>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</si>
  <si>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</si>
  <si>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</si>
  <si>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</si>
  <si>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</si>
  <si>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</si>
  <si>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</si>
  <si>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</si>
  <si>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</si>
  <si>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</si>
  <si>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</si>
  <si>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</si>
  <si>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</si>
  <si>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</si>
  <si>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</si>
  <si>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</si>
  <si>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</si>
  <si>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</si>
  <si>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</si>
  <si>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</si>
  <si>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</si>
  <si>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</si>
  <si>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</si>
  <si>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</si>
  <si>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</si>
  <si>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</si>
  <si>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</si>
  <si>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</si>
  <si>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</si>
  <si>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</si>
  <si>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or every two weeks?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</si>
  <si>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</si>
  <si>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</si>
  <si>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</si>
  <si>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</si>
  <si>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</si>
  <si>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</si>
  <si>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</si>
  <si>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</si>
  <si>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</si>
  <si>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</si>
  <si>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</si>
  <si>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</si>
  <si>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</si>
  <si>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</si>
  <si>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</si>
  <si>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</si>
  <si>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</si>
  <si>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</si>
  <si>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</si>
  <si>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</si>
  <si>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</si>
  <si>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</si>
  <si>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</si>
  <si>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</si>
  <si>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</si>
  <si>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</si>
  <si>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</si>
  <si>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</si>
  <si>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</si>
  <si>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</si>
  <si>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</si>
  <si>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</si>
  <si>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Holiday trip</t>
  </si>
  <si>
    <t xml:space="preserve">New laptop</t>
  </si>
</sst>
</file>

<file path=xl/styles.xml><?xml version="1.0" encoding="utf-8"?>
<styleSheet xmlns="http://schemas.openxmlformats.org/spreadsheetml/2006/main">
  <numFmts count="10">
    <numFmt numFmtId="164" formatCode="General"/>
    <numFmt numFmtId="165" formatCode="\$#,##0.00;[RED]&quot;-$&quot;#,##0.00;\$0.00"/>
    <numFmt numFmtId="166" formatCode="0%"/>
    <numFmt numFmtId="167" formatCode="\$#,##0"/>
    <numFmt numFmtId="168" formatCode="0"/>
    <numFmt numFmtId="169" formatCode="mmm\ d"/>
    <numFmt numFmtId="170" formatCode="mmm\ d&quot;, &quot;yyyy"/>
    <numFmt numFmtId="171" formatCode="ddd\ mmm\ d"/>
    <numFmt numFmtId="172" formatCode="0.0%"/>
    <numFmt numFmtId="173"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8"/>
      <color rgb="FF000000"/>
      <name val="Calibri"/>
      <family val="2"/>
    </font>
    <font>
      <sz val="10"/>
      <color rgb="FF000000"/>
      <name val="Calibri"/>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0" fontId="13" fillId="4" borderId="1" xfId="0" applyFont="true" applyBorder="true" applyAlignment="false" applyProtection="true">
      <alignment horizontal="general" vertical="bottom" textRotation="0" wrapText="false" indent="0" shrinkToFit="false"/>
      <protection locked="fals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2"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45720845"/>
        <c:axId val="67391242"/>
      </c:barChart>
      <c:catAx>
        <c:axId val="457208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391242"/>
        <c:crosses val="autoZero"/>
        <c:auto val="1"/>
        <c:lblAlgn val="ctr"/>
        <c:lblOffset val="100"/>
        <c:noMultiLvlLbl val="0"/>
      </c:catAx>
      <c:valAx>
        <c:axId val="6739124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7208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6</xdr:col>
      <xdr:colOff>684720</xdr:colOff>
      <xdr:row>50</xdr:row>
      <xdr:rowOff>32760</xdr:rowOff>
    </xdr:to>
    <xdr:graphicFrame>
      <xdr:nvGraphicFramePr>
        <xdr:cNvPr id="0" name="Chart 1"/>
        <xdr:cNvGraphicFramePr/>
      </xdr:nvGraphicFramePr>
      <xdr:xfrm>
        <a:off x="211320" y="741996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858600</xdr:colOff>
      <xdr:row>33</xdr:row>
      <xdr:rowOff>175320</xdr:rowOff>
    </xdr:to>
    <xdr:graphicFrame>
      <xdr:nvGraphicFramePr>
        <xdr:cNvPr id="1" name="Chart 2"/>
        <xdr:cNvGraphicFramePr/>
      </xdr:nvGraphicFramePr>
      <xdr:xfrm>
        <a:off x="2185200" y="432432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21.7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5" min="2" style="0" width="14"/>
    <col collapsed="false" customWidth="true" hidden="false" outlineLevel="0" max="6" min="6" style="0" width="16"/>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59</v>
      </c>
      <c r="C6" s="10" t="s">
        <v>60</v>
      </c>
      <c r="D6" s="10" t="s">
        <v>61</v>
      </c>
      <c r="E6" s="10" t="s">
        <v>62</v>
      </c>
      <c r="F6" s="10" t="s">
        <v>63</v>
      </c>
      <c r="H6" s="10" t="s">
        <v>64</v>
      </c>
      <c r="I6" s="10" t="s">
        <v>65</v>
      </c>
    </row>
    <row r="7" customFormat="false" ht="15" hidden="false" customHeight="fals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5" hidden="false" customHeight="fals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5" hidden="false" customHeight="fals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5" hidden="false" customHeight="fals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5" hidden="false" customHeight="fals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5" hidden="false" customHeight="fals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5" hidden="false" customHeight="fals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5" hidden="false" customHeight="fals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5" hidden="false" customHeight="fals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5" hidden="false" customHeight="fals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5" hidden="false" customHeight="fals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5" hidden="false" customHeight="fals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5" hidden="false" customHeight="fals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5" hidden="false" customHeight="fals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5" hidden="false" customHeight="fals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5" hidden="false" customHeight="fals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5" hidden="false" customHeight="fals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5" hidden="false" customHeight="fals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5" hidden="false" customHeight="fals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5" hidden="false" customHeight="fals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5" hidden="false" customHeight="fals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5" hidden="false" customHeight="fals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5" hidden="false" customHeight="fals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5" hidden="false" customHeight="fals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5" hidden="false" customHeight="fals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5" hidden="false" customHeight="fals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5" hidden="false" customHeight="fals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5" hidden="false" customHeight="fals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5" hidden="false" customHeight="fals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21.7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t="n">
        <v>46390</v>
      </c>
      <c r="C7" s="30" t="s">
        <v>105</v>
      </c>
      <c r="D7" s="17" t="s">
        <v>77</v>
      </c>
      <c r="E7" s="26" t="n">
        <v>1200</v>
      </c>
      <c r="G7" s="19" t="s">
        <v>61</v>
      </c>
      <c r="H7" s="31" t="n">
        <f aca="false">SUM(E7:E86)</f>
        <v>2112.09</v>
      </c>
    </row>
    <row r="8" customFormat="false" ht="15" hidden="false" customHeight="false" outlineLevel="0" collapsed="false">
      <c r="B8" s="29" t="n">
        <v>46391</v>
      </c>
      <c r="C8" s="30" t="s">
        <v>106</v>
      </c>
      <c r="D8" s="17" t="s">
        <v>80</v>
      </c>
      <c r="E8" s="26" t="n">
        <v>112.4</v>
      </c>
      <c r="G8" s="19" t="s">
        <v>62</v>
      </c>
      <c r="H8" s="31" t="n">
        <f aca="false">H6-H7</f>
        <v>1787.91</v>
      </c>
    </row>
    <row r="9" customFormat="false" ht="15" hidden="false" customHeight="false" outlineLevel="0" collapsed="false">
      <c r="B9" s="29" t="n">
        <v>46393</v>
      </c>
      <c r="C9" s="30" t="s">
        <v>107</v>
      </c>
      <c r="D9" s="17" t="s">
        <v>81</v>
      </c>
      <c r="E9" s="26" t="n">
        <v>60</v>
      </c>
      <c r="G9" s="19" t="s">
        <v>63</v>
      </c>
      <c r="H9" s="31" t="n">
        <f aca="false">SUMPRODUCT(SUMIFS($E$7:$E$86,$D$7:$D$86,Setup!$E$10:$E$39)*((Setup!$F$10:$F$39="Savings")+(Setup!$F$10:$F$39="Debt")))</f>
        <v>350</v>
      </c>
    </row>
    <row r="10" customFormat="false" ht="15" hidden="false" customHeight="false" outlineLevel="0" collapsed="false">
      <c r="B10" s="29" t="n">
        <v>46396</v>
      </c>
      <c r="C10" s="30" t="s">
        <v>108</v>
      </c>
      <c r="D10" s="17" t="s">
        <v>85</v>
      </c>
      <c r="E10" s="26" t="n">
        <v>38.5</v>
      </c>
    </row>
    <row r="11" customFormat="false" ht="21.7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5" hidden="false" customHeight="fals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5" hidden="false" customHeight="fals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5" hidden="false" customHeight="fals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5" hidden="false" customHeight="fals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118</v>
      </c>
    </row>
    <row r="4" customFormat="false" ht="15" hidden="false" customHeight="false" outlineLevel="0" collapsed="false">
      <c r="B4" s="3" t="s">
        <v>2</v>
      </c>
      <c r="C4" s="3" t="s">
        <v>3</v>
      </c>
      <c r="E4" s="3" t="s">
        <v>4</v>
      </c>
      <c r="F4" s="3" t="s">
        <v>5</v>
      </c>
      <c r="H4" s="3" t="s">
        <v>6</v>
      </c>
      <c r="J4" s="3" t="s">
        <v>7</v>
      </c>
      <c r="L4" s="3" t="s">
        <v>8</v>
      </c>
      <c r="N4" s="3" t="s">
        <v>9</v>
      </c>
    </row>
    <row r="6" customFormat="false" ht="21.75" hidden="false" customHeight="true" outlineLevel="0" collapsed="false">
      <c r="B6" s="10" t="s">
        <v>119</v>
      </c>
      <c r="C6" s="10" t="s">
        <v>120</v>
      </c>
      <c r="D6" s="10" t="s">
        <v>102</v>
      </c>
      <c r="E6" s="10" t="s">
        <v>121</v>
      </c>
      <c r="F6" s="10" t="s">
        <v>122</v>
      </c>
      <c r="G6" s="10" t="s">
        <v>123</v>
      </c>
      <c r="H6" s="10" t="s">
        <v>124</v>
      </c>
      <c r="I6" s="10" t="s">
        <v>125</v>
      </c>
      <c r="J6" s="10" t="s">
        <v>24</v>
      </c>
      <c r="K6" s="10" t="s">
        <v>126</v>
      </c>
      <c r="L6" s="10" t="s">
        <v>127</v>
      </c>
      <c r="M6" s="10" t="s">
        <v>128</v>
      </c>
      <c r="N6" s="10" t="s">
        <v>129</v>
      </c>
      <c r="O6" s="10" t="s">
        <v>130</v>
      </c>
      <c r="P6" s="10" t="s">
        <v>131</v>
      </c>
      <c r="Q6" s="10" t="s">
        <v>132</v>
      </c>
    </row>
    <row r="7" customFormat="false" ht="15" hidden="false" customHeight="false" outlineLevel="0" collapsed="false">
      <c r="B7" s="17" t="s">
        <v>105</v>
      </c>
      <c r="C7" s="25" t="n">
        <v>1</v>
      </c>
      <c r="D7" s="26" t="n">
        <v>1400</v>
      </c>
      <c r="E7" s="17" t="s">
        <v>133</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133</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17" t="s">
        <v>133</v>
      </c>
      <c r="F9" s="34"/>
      <c r="G9" s="34"/>
      <c r="H9" s="34"/>
      <c r="I9" s="34"/>
      <c r="J9" s="34"/>
      <c r="K9" s="34"/>
      <c r="L9" s="34"/>
      <c r="M9" s="34"/>
      <c r="N9" s="34"/>
      <c r="O9" s="34"/>
      <c r="P9" s="34"/>
      <c r="Q9" s="34"/>
    </row>
    <row r="10" customFormat="false" ht="15" hidden="false" customHeight="false" outlineLevel="0" collapsed="false">
      <c r="B10" s="17" t="s">
        <v>134</v>
      </c>
      <c r="C10" s="25" t="n">
        <v>20</v>
      </c>
      <c r="D10" s="26" t="n">
        <v>160</v>
      </c>
      <c r="E10" s="17" t="s">
        <v>135</v>
      </c>
      <c r="F10" s="34"/>
      <c r="G10" s="34"/>
      <c r="H10" s="34"/>
      <c r="I10" s="34"/>
      <c r="J10" s="34"/>
      <c r="K10" s="34"/>
      <c r="L10" s="34"/>
      <c r="M10" s="34"/>
      <c r="N10" s="34"/>
      <c r="O10" s="34"/>
      <c r="P10" s="34"/>
      <c r="Q10" s="34"/>
    </row>
    <row r="11" customFormat="false" ht="15" hidden="false" customHeight="false" outlineLevel="0" collapsed="false">
      <c r="B11" s="17" t="s">
        <v>136</v>
      </c>
      <c r="C11" s="25" t="n">
        <v>22</v>
      </c>
      <c r="D11" s="26" t="n">
        <v>90</v>
      </c>
      <c r="E11" s="17" t="s">
        <v>135</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135</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137</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138</v>
      </c>
    </row>
    <row r="3" customFormat="false" ht="15" hidden="false" customHeight="false" outlineLevel="0" collapsed="false">
      <c r="B3" s="2" t="s">
        <v>139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140</v>
      </c>
      <c r="C6" s="35" t="n">
        <f aca="false">DATE(Year,1,1)+MOD(6-WEEKDAY(DATE(Year,1,1)),7)</f>
        <v>46388</v>
      </c>
    </row>
    <row r="7" customFormat="false" ht="15" hidden="false" customHeight="false" outlineLevel="0" collapsed="false">
      <c r="B7" s="19" t="s">
        <v>141</v>
      </c>
      <c r="C7" s="17" t="s">
        <v>142</v>
      </c>
    </row>
    <row r="8" customFormat="false" ht="15" hidden="false" customHeight="false" outlineLevel="0" collapsed="false">
      <c r="B8" s="19" t="s">
        <v>143</v>
      </c>
      <c r="C8" s="26" t="n">
        <f aca="false">ROUND(Setup!$C$10*12/CHOOSE(MATCH($C$7,{"Weekly","Every 2 weeks","Twice a month","Monthly"},0),52,26,24,12),2)</f>
        <v>1661.54</v>
      </c>
      <c r="D8" s="28" t="s">
        <v>144</v>
      </c>
    </row>
    <row r="10" customFormat="false" ht="33.75" hidden="false" customHeight="true" outlineLevel="0" collapsed="false">
      <c r="B10" s="10" t="s">
        <v>145</v>
      </c>
      <c r="C10" s="10" t="s">
        <v>7</v>
      </c>
      <c r="D10" s="10" t="s">
        <v>146</v>
      </c>
      <c r="E10" s="10" t="s">
        <v>147</v>
      </c>
      <c r="F10" s="10" t="s">
        <v>140</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6"/>
    <col collapsed="false" customWidth="true" hidden="false" outlineLevel="0" max="8" min="8" style="0" width="18"/>
    <col collapsed="false" customWidth="true" hidden="false" outlineLevel="0" max="10" min="9" style="0" width="16"/>
    <col collapsed="false" customWidth="true" hidden="false" outlineLevel="0" max="29" min="11" style="0" width="14"/>
  </cols>
  <sheetData>
    <row r="2" customFormat="false" ht="33.75" hidden="false" customHeight="true" outlineLevel="0" collapsed="false">
      <c r="B2" s="1" t="s">
        <v>148</v>
      </c>
    </row>
    <row r="3" customFormat="false" ht="15" hidden="false" customHeight="false" outlineLevel="0" collapsed="false">
      <c r="B3" s="2" t="s">
        <v>149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150</v>
      </c>
      <c r="C6" s="17" t="s">
        <v>151</v>
      </c>
    </row>
    <row r="7" customFormat="false" ht="15" hidden="false" customHeight="false" outlineLevel="0" collapsed="false">
      <c r="B7" s="19" t="s">
        <v>152</v>
      </c>
      <c r="C7" s="26" t="n">
        <v>100</v>
      </c>
      <c r="D7" s="28" t="s">
        <v>153</v>
      </c>
    </row>
    <row r="9" customFormat="false" ht="33.75" hidden="false" customHeight="true" outlineLevel="0" collapsed="false">
      <c r="B9" s="10" t="s">
        <v>8</v>
      </c>
      <c r="C9" s="10" t="s">
        <v>154</v>
      </c>
      <c r="D9" s="10" t="s">
        <v>155</v>
      </c>
      <c r="E9" s="10" t="s">
        <v>156</v>
      </c>
      <c r="F9" s="10" t="s">
        <v>157</v>
      </c>
      <c r="G9" s="10" t="s">
        <v>158</v>
      </c>
      <c r="H9" s="10" t="s">
        <v>159</v>
      </c>
      <c r="I9" s="10" t="s">
        <v>160</v>
      </c>
      <c r="J9" s="10" t="s">
        <v>161</v>
      </c>
    </row>
    <row r="10" customFormat="false" ht="15" hidden="false" customHeight="false" outlineLevel="0" collapsed="false">
      <c r="B10" s="17" t="s">
        <v>95</v>
      </c>
      <c r="C10" s="26" t="n">
        <v>2400</v>
      </c>
      <c r="D10" s="38" t="n">
        <v>0.2299</v>
      </c>
      <c r="E10" s="26" t="n">
        <v>75</v>
      </c>
      <c r="F10" s="39" t="n">
        <f aca="false">IF(C10="","",IF($C$6="Snowball",COUNTIFS($C$10:$C$19,"&lt;"&amp;C10,$C$10:$C$19,"&lt;&gt;")+1,COUNTIFS($D$10:$D$19,"&gt;"&amp;D10,$C$10:$C$19,"&lt;&gt;")+1))</f>
        <v>1</v>
      </c>
      <c r="G10" s="39" t="n">
        <f aca="false">IF(OR(C10="",E10=""),"",IFERROR(ROUNDUP(NPER(D10/12,-E10,C10),0),"never: raise the minimum"))</f>
        <v>51</v>
      </c>
      <c r="H10" s="22" t="n">
        <f aca="false">IF(OR(C10="",E10="",NOT(ISNUMBER(G10))),"",G10*E10-C10)</f>
        <v>1425</v>
      </c>
      <c r="I10" s="39" t="n">
        <f aca="false">IF(OR(C10="",E10="",F10&lt;&gt;1),"",IFERROR(ROUNDUP(NPER(D10/12,-(E10+$C$7),C10),0),""))</f>
        <v>17</v>
      </c>
      <c r="J10" s="22" t="n">
        <f aca="false">IF(OR(I10="",NOT(ISNUMBER(H10))),"",MAX(0,H10-(I10*(E10+$C$7)-C10)))</f>
        <v>850</v>
      </c>
    </row>
    <row r="11" customFormat="false" ht="15" hidden="false" customHeight="false" outlineLevel="0" collapsed="false">
      <c r="B11" s="17" t="s">
        <v>162</v>
      </c>
      <c r="C11" s="26" t="n">
        <v>8200</v>
      </c>
      <c r="D11" s="38" t="n">
        <v>0.069</v>
      </c>
      <c r="E11" s="26" t="n">
        <v>210</v>
      </c>
      <c r="F11" s="39" t="n">
        <f aca="false">IF(C11="","",IF($C$6="Snowball",COUNTIFS($C$10:$C$19,"&lt;"&amp;C11,$C$10:$C$19,"&lt;&gt;")+1,COUNTIFS($D$10:$D$19,"&gt;"&amp;D11,$C$10:$C$19,"&lt;&gt;")+1))</f>
        <v>2</v>
      </c>
      <c r="G11" s="39" t="n">
        <f aca="false">IF(OR(C11="",E11=""),"",IFERROR(ROUNDUP(NPER(D11/12,-E11,C11),0),"never: raise the minimum"))</f>
        <v>45</v>
      </c>
      <c r="H11" s="22" t="n">
        <f aca="false">IF(OR(C11="",E11="",NOT(ISNUMBER(G11))),"",G11*E11-C11)</f>
        <v>1250</v>
      </c>
      <c r="I11" s="39" t="str">
        <f aca="false">IF(OR(C11="",E11="",F11&lt;&gt;1),"",IFERROR(ROUNDUP(NPER(D11/12,-(E11+$C$7),C11),0),""))</f>
        <v/>
      </c>
      <c r="J11" s="22" t="str">
        <f aca="false">IF(OR(I11="",NOT(ISNUMBER(H11))),"",MAX(0,H11-(I11*(E11+$C$7)-C11)))</f>
        <v/>
      </c>
    </row>
    <row r="12" customFormat="false" ht="15" hidden="false" customHeight="false" outlineLevel="0" collapsed="false">
      <c r="B12" s="17" t="s">
        <v>96</v>
      </c>
      <c r="C12" s="26" t="n">
        <v>14500</v>
      </c>
      <c r="D12" s="38" t="n">
        <v>0.055</v>
      </c>
      <c r="E12" s="26" t="n">
        <v>180</v>
      </c>
      <c r="F12" s="39" t="n">
        <f aca="false">IF(C12="","",IF($C$6="Snowball",COUNTIFS($C$10:$C$19,"&lt;"&amp;C12,$C$10:$C$19,"&lt;&gt;")+1,COUNTIFS($D$10:$D$19,"&gt;"&amp;D12,$C$10:$C$19,"&lt;&gt;")+1))</f>
        <v>3</v>
      </c>
      <c r="G12" s="39" t="n">
        <f aca="false">IF(OR(C12="",E12=""),"",IFERROR(ROUNDUP(NPER(D12/12,-E12,C12),0),"never: raise the minimum"))</f>
        <v>101</v>
      </c>
      <c r="H12" s="22" t="n">
        <f aca="false">IF(OR(C12="",E12="",NOT(ISNUMBER(G12))),"",G12*E12-C12)</f>
        <v>3680</v>
      </c>
      <c r="I12" s="39" t="str">
        <f aca="false">IF(OR(C12="",E12="",F12&lt;&gt;1),"",IFERROR(ROUNDUP(NPER(D12/12,-(E12+$C$7),C12),0),""))</f>
        <v/>
      </c>
      <c r="J12" s="22" t="str">
        <f aca="false">IF(OR(I12="",NOT(ISNUMBER(H12))),"",MAX(0,H12-(I12*(E12+$C$7)-C12)))</f>
        <v/>
      </c>
    </row>
    <row r="13" customFormat="false" ht="15" hidden="false" customHeight="false" outlineLevel="0" collapsed="false">
      <c r="B13" s="17"/>
      <c r="C13" s="26"/>
      <c r="D13" s="38"/>
      <c r="E13" s="26"/>
      <c r="F13" s="39" t="str">
        <f aca="false">IF(C13="","",IF($C$6="Snowball",COUNTIFS($C$10:$C$19,"&lt;"&amp;C13,$C$10:$C$19,"&lt;&gt;")+1,COUNTIFS($D$10:$D$19,"&gt;"&amp;D13,$C$10:$C$19,"&lt;&gt;")+1))</f>
        <v/>
      </c>
      <c r="G13" s="39" t="str">
        <f aca="false">IF(OR(C13="",E13=""),"",IFERROR(ROUNDUP(NPER(D13/12,-E13,C13),0),"never: raise the minimum"))</f>
        <v/>
      </c>
      <c r="H13" s="22" t="str">
        <f aca="false">IF(OR(C13="",E13="",NOT(ISNUMBER(G13))),"",G13*E13-C13)</f>
        <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163</v>
      </c>
      <c r="C20" s="23" t="n">
        <f aca="false">SUM(C10:C19)</f>
        <v>25100</v>
      </c>
      <c r="E20" s="23" t="n">
        <f aca="false">SUM(E10:E19)</f>
        <v>465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164</v>
      </c>
    </row>
    <row r="3" customFormat="false" ht="15" hidden="false" customHeight="false" outlineLevel="0" collapsed="false">
      <c r="B3" s="2" t="s">
        <v>165</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166</v>
      </c>
      <c r="C6" s="10" t="s">
        <v>167</v>
      </c>
      <c r="D6" s="10" t="s">
        <v>168</v>
      </c>
      <c r="E6" s="10" t="s">
        <v>169</v>
      </c>
      <c r="F6" s="10" t="s">
        <v>170</v>
      </c>
      <c r="G6" s="10" t="s">
        <v>171</v>
      </c>
      <c r="H6" s="10"/>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IF(OR(C7="",F7=""),"",IF(D7&gt;=C7,"Reached",IF(((YEAR(F7)-YEAR(TODAY()))*12+MONTH(F7)-MONTH(TODAY()))&lt;1,"Date passed: pick a new one",(C7-D7)/((YEAR(F7)-YEAR(TODAY()))*12+MONTH(F7)-MONTH(TODAY())))))</f>
        <v>271.428571428571</v>
      </c>
      <c r="H7" s="33" t="str">
        <f aca="false">IF(E7="","",REPT("█",ROUND(MIN(1,MAX(0,E7))*10,0))&amp;REPT("░",10-ROUND(MIN(1,MAX(0,E7))*10,0)))</f>
        <v>██░░░░░░░░</v>
      </c>
    </row>
    <row r="8" customFormat="false" ht="15" hidden="false" customHeight="false" outlineLevel="0" collapsed="false">
      <c r="B8" s="17" t="s">
        <v>172</v>
      </c>
      <c r="C8" s="26" t="n">
        <v>1800</v>
      </c>
      <c r="D8" s="26" t="n">
        <v>450</v>
      </c>
      <c r="E8" s="32" t="n">
        <f aca="false">IF(OR(C8="",C8=0),"",MIN(1,D8/C8))</f>
        <v>0.25</v>
      </c>
      <c r="F8" s="40" t="n">
        <v>46569</v>
      </c>
      <c r="G8" s="22" t="n">
        <f aca="true">IF(OR(C8="",F8=""),"",IF(D8&gt;=C8,"Reached",IF(((YEAR(F8)-YEAR(TODAY()))*12+MONTH(F8)-MONTH(TODAY()))&lt;1,"Date passed: pick a new one",(C8-D8)/((YEAR(F8)-YEAR(TODAY()))*12+MONTH(F8)-MONTH(TODAY())))))</f>
        <v>150</v>
      </c>
      <c r="H8" s="33" t="str">
        <f aca="false">IF(E8="","",REPT("█",ROUND(MIN(1,MAX(0,E8))*10,0))&amp;REPT("░",10-ROUND(MIN(1,MAX(0,E8))*10,0)))</f>
        <v>███░░░░░░░</v>
      </c>
    </row>
    <row r="9" customFormat="false" ht="15" hidden="false" customHeight="false" outlineLevel="0" collapsed="false">
      <c r="B9" s="17" t="s">
        <v>173</v>
      </c>
      <c r="C9" s="26" t="n">
        <v>1200</v>
      </c>
      <c r="D9" s="26" t="n">
        <v>300</v>
      </c>
      <c r="E9" s="32" t="n">
        <f aca="false">IF(OR(C9="",C9=0),"",MIN(1,D9/C9))</f>
        <v>0.25</v>
      </c>
      <c r="F9" s="40" t="n">
        <v>46631</v>
      </c>
      <c r="G9" s="22" t="n">
        <f aca="true">IF(OR(C9="",F9=""),"",IF(D9&gt;=C9,"Reached",IF(((YEAR(F9)-YEAR(TODAY()))*12+MONTH(F9)-MONTH(TODAY()))&lt;1,"Date passed: pick a new one",(C9-D9)/((YEAR(F9)-YEAR(TODAY()))*12+MONTH(F9)-MONTH(TODAY())))))</f>
        <v>81.8181818181818</v>
      </c>
      <c r="H9" s="33"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IF(OR(C10="",F10=""),"",IF(D10&gt;=C10,"Reached",IF(((YEAR(F10)-YEAR(TODAY()))*12+MONTH(F10)-MONTH(TODAY()))&lt;1,"Date passed: pick a new one",(C10-D10)/((YEAR(F10)-YEAR(TODAY()))*12+MONTH(F10)-MONTH(TODAY())))))</f>
        <v/>
      </c>
      <c r="H10" s="33"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IF(OR(C11="",F11=""),"",IF(D11&gt;=C11,"Reached",IF(((YEAR(F11)-YEAR(TODAY()))*12+MONTH(F11)-MONTH(TODAY()))&lt;1,"Date passed: pick a new one",(C11-D11)/((YEAR(F11)-YEAR(TODAY()))*12+MONTH(F11)-MONTH(TODAY())))))</f>
        <v/>
      </c>
      <c r="H11" s="33"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IF(OR(C12="",F12=""),"",IF(D12&gt;=C12,"Reached",IF(((YEAR(F12)-YEAR(TODAY()))*12+MONTH(F12)-MONTH(TODAY()))&lt;1,"Date passed: pick a new one",(C12-D12)/((YEAR(F12)-YEAR(TODAY()))*12+MONTH(F12)-MONTH(TODAY())))))</f>
        <v/>
      </c>
      <c r="H12" s="33"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IF(OR(C13="",F13=""),"",IF(D13&gt;=C13,"Reached",IF(((YEAR(F13)-YEAR(TODAY()))*12+MONTH(F13)-MONTH(TODAY()))&lt;1,"Date passed: pick a new one",(C13-D13)/((YEAR(F13)-YEAR(TODAY()))*12+MONTH(F13)-MONTH(TODAY())))))</f>
        <v/>
      </c>
      <c r="H13" s="33"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IF(OR(C14="",F14=""),"",IF(D14&gt;=C14,"Reached",IF(((YEAR(F14)-YEAR(TODAY()))*12+MONTH(F14)-MONTH(TODAY()))&lt;1,"Date passed: pick a new one",(C14-D14)/((YEAR(F14)-YEAR(TODAY()))*12+MONTH(F14)-MONTH(TODAY())))))</f>
        <v/>
      </c>
      <c r="H14" s="33"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IF(OR(C15="",F15=""),"",IF(D15&gt;=C15,"Reached",IF(((YEAR(F15)-YEAR(TODAY()))*12+MONTH(F15)-MONTH(TODAY()))&lt;1,"Date passed: pick a new one",(C15-D15)/((YEAR(F15)-YEAR(TODAY()))*12+MONTH(F15)-MONTH(TODAY())))))</f>
        <v/>
      </c>
      <c r="H15" s="33"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IF(OR(C16="",F16=""),"",IF(D16&gt;=C16,"Reached",IF(((YEAR(F16)-YEAR(TODAY()))*12+MONTH(F16)-MONTH(TODAY()))&lt;1,"Date passed: pick a new one",(C16-D16)/((YEAR(F16)-YEAR(TODAY()))*12+MONTH(F16)-MONTH(TODAY())))))</f>
        <v/>
      </c>
      <c r="H16" s="33"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2026-10-22T07:54:38Z</dcterms:created>
  <dc:creator>openpyxl</dc:creator>
  <dc:description/>
  <dc:language>en-US</dc:language>
  <cp:lastModifiedBy/>
  <dcterms:modified xsi:type="dcterms:W3CDTF">2026-10-22T07:54:40Z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