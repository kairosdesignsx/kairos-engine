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name="Categories" vbProcedure="false">Setup!$E$10:$E$39</definedName>
    <definedName function="false" hidden="false" name="Year" vbProcedure="false">Setup!$C$6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<sst xmlns="http://schemas.openxmlformats.org/spreadsheetml/2006/main" count="576" uniqueCount="170">
  <si>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</si>
  <si>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</si>
  <si>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</si>
  <si>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</si>
  <si>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</si>
  <si>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</si>
  <si>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</si>
  <si>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</si>
  <si>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</si>
  <si>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</si>
  <si>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</si>
  <si>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Google Sheets: on drive.google.com choose New &gt; File upload, pick the .xlsx, then open it with Google Sheets (File &gt; Save as Google Sheets keeps a Sheets copy).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</si>
  <si>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</si>
  <si>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</si>
  <si>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</si>
  <si>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</si>
  <si>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</si>
  <si>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</si>
  <si>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</si>
  <si>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</si>
  <si>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before January? Set the Year in Setup to 2026 for November and December, then download a fresh copy from your Etsy Purchases for 2027.</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</si>
  <si>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</si>
  <si>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</si>
  <si>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</si>
  <si>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</si>
  <si>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</si>
  <si>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</si>
  <si>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</si>
  <si>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</si>
  <si>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</si>
  <si>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</si>
  <si>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</si>
  <si>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</si>
  <si>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</si>
  <si>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</si>
  <si>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</si>
  <si>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</si>
  <si>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</si>
  <si>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</si>
  <si>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</si>
  <si>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</si>
  <si>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</si>
  <si>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</si>
  <si>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</si>
  <si>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</si>
  <si>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</si>
  <si>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</si>
  <si>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</si>
  <si>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</si>
  <si>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</si>
  <si>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</si>
  <si>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</si>
  <si>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</si>
  <si>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</si>
  <si>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</si>
  <si>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</si>
  <si>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</si>
  <si>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</si>
  <si>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</si>
  <si>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</si>
  <si>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</si>
  <si>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</si>
  <si>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</si>
  <si>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t>
  </si>
  <si>
    <t xml:space="preserve">Category</t>
  </si>
  <si>
    <t xml:space="preserve">Spent this year</t>
  </si>
  <si>
    <t xml:space="preserve">Year</t>
  </si>
  <si>
    <t xml:space="preserve">Savings rate</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</si>
  <si>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</si>
  <si>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</si>
  <si>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</si>
  <si>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</si>
  <si>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</si>
  <si>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</si>
  <si>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</si>
  <si>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</si>
  <si>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</si>
  <si>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</si>
  <si>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</si>
  <si>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</si>
  <si>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</si>
  <si>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</si>
  <si>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</si>
  <si>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</si>
  <si>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</si>
  <si>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</si>
  <si>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</si>
  <si>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</si>
  <si>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</si>
  <si>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</si>
  <si>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</si>
  <si>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</si>
  <si>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</si>
  <si>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</si>
  <si>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</si>
  <si>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</si>
  <si>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</si>
  <si>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</si>
  <si>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</si>
  <si>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</si>
  <si>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</si>
  <si>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</si>
  <si>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</si>
  <si>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</si>
  <si>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</si>
  <si>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</si>
  <si>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</si>
  <si>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</si>
  <si>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Saved and debt paid</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</si>
  <si>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</si>
  <si>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</si>
  <si>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</si>
  <si>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</si>
  <si>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</si>
  <si>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</si>
  <si>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</si>
  <si>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</si>
  <si>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Shoes</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</si>
  <si>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</si>
  <si>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</si>
  <si>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</si>
  <si>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</si>
  <si>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</si>
  <si>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</si>
  <si>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</si>
  <si>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</si>
  <si>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</si>
  <si>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</si>
  <si>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</si>
  <si>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</si>
  <si>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</si>
  <si>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</si>
  <si>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</si>
  <si>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</si>
  <si>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</si>
  <si>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</si>
  <si>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</si>
  <si>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</si>
  <si>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</si>
  <si>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or every two weeks?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</si>
  <si>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</si>
  <si>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</si>
  <si>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</si>
  <si>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</si>
  <si>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</si>
  <si>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</si>
  <si>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</si>
  <si>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</si>
  <si>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</si>
  <si>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</si>
  <si>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</si>
  <si>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</si>
  <si>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</si>
  <si>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Balance</t>
  </si>
  <si>
    <t xml:space="preserve">Rate (APR)</t>
  </si>
  <si>
    <t xml:space="preserve">Minimum</t>
  </si>
  <si>
    <t xml:space="preserve">Pay order</t>
  </si>
  <si>
    <t xml:space="preserve">Months at minimum</t>
  </si>
  <si>
    <t xml:space="preserve">Interest at minimum</t>
  </si>
  <si>
    <t xml:space="preserve">Car loan</t>
  </si>
  <si>
    <t xml:space="preserve">Total</t>
  </si>
  <si>
    <t xml:space="preserve">Savings goals</t>
  </si>
  <si>
    <t xml:space="preserve">One line per goal. The bar fills as you save.</t>
  </si>
  <si>
    <t xml:space="preserve">Goal</t>
  </si>
  <si>
    <t xml:space="preserve">Target</t>
  </si>
  <si>
    <t xml:space="preserve">Progress</t>
  </si>
  <si>
    <t xml:space="preserve">Target date</t>
  </si>
  <si>
    <t xml:space="preserve">Save per month</t>
  </si>
  <si>
    <t xml:space="preserve">Holiday trip</t>
  </si>
  <si>
    <t xml:space="preserve">New laptop</t>
  </si>
</sst>
</file>

<file path=xl/styles.xml><?xml version="1.0" encoding="utf-8"?>
<styleSheet xmlns="http://schemas.openxmlformats.org/spreadsheetml/2006/main">
  <numFmts count="9">
    <numFmt numFmtId="164" formatCode="General"/>
    <numFmt numFmtId="165" formatCode="\$#,##0.00;[RED]&quot;-$&quot;#,##0.00;\$0.00"/>
    <numFmt numFmtId="166" formatCode="0%"/>
    <numFmt numFmtId="167" formatCode="0"/>
    <numFmt numFmtId="168" formatCode="mmm\ d"/>
    <numFmt numFmtId="169" formatCode="mmm\ d&quot;, &quot;yyyy"/>
    <numFmt numFmtId="170" formatCode="ddd\ mmm\ d"/>
    <numFmt numFmtId="171" formatCode="0.0%"/>
    <numFmt numFmtId="172" formatCode="mmm\ yyyy"/>
  </numFmts>
  <fonts count="21">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8"/>
      <color rgb="FF000000"/>
      <name val="Calibri"/>
      <family val="2"/>
    </font>
    <font>
      <sz val="10"/>
      <color rgb="FF000000"/>
      <name val="Calibri"/>
      <family val="2"/>
    </font>
    <font>
      <i val="true"/>
      <sz val="9"/>
      <color rgb="FF5E6B78"/>
      <name val="Arial"/>
      <family val="0"/>
      <charset val="1"/>
    </font>
  </fonts>
  <fills count="6">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
      <patternFill patternType="solid">
        <fgColor rgb="FFFFFFFF"/>
        <bgColor rgb="FFFFFFCC"/>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7"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69" fontId="13" fillId="4" borderId="1" xfId="0" applyFont="true" applyBorder="true" applyAlignment="false" applyProtection="true">
      <alignment horizontal="general" vertical="bottom" textRotation="0" wrapText="false" indent="0" shrinkToFit="false"/>
      <protection locked="fals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1" fontId="13" fillId="4" borderId="1" xfId="0" applyFont="true" applyBorder="true" applyAlignment="false" applyProtection="true">
      <alignment horizontal="general" vertical="bottom" textRotation="0" wrapText="false" indent="0" shrinkToFit="false"/>
      <protection locked="fals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72" fontId="13" fillId="4" borderId="1" xfId="0" applyFont="true" applyBorder="true" applyAlignment="false" applyProtection="true">
      <alignment horizontal="general" vertical="bottom" textRotation="0" wrapText="fals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FFFFFF"/>
      </font>
      <fill>
        <patternFill>
          <bgColor rgb="FF2F6F5E"/>
        </patternFill>
      </fill>
    </dxf>
    <dxf>
      <font>
        <b val="1"/>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1992.09</c:v>
                </c:pt>
              </c:numCache>
            </c:numRef>
          </c:val>
        </c:ser>
        <c:gapWidth val="150"/>
        <c:overlap val="0"/>
        <c:axId val="17068865"/>
        <c:axId val="64864604"/>
      </c:barChart>
      <c:catAx>
        <c:axId val="170688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864604"/>
        <c:crosses val="autoZero"/>
        <c:auto val="1"/>
        <c:lblAlgn val="ctr"/>
        <c:lblOffset val="100"/>
        <c:noMultiLvlLbl val="0"/>
      </c:catAx>
      <c:valAx>
        <c:axId val="64864604"/>
        <c:scaling>
          <c:orientation val="minMax"/>
        </c:scaling>
        <c:delete val="0"/>
        <c:axPos val="l"/>
        <c:majorGridlines>
          <c:spPr>
            <a:ln w="9360">
              <a:solidFill>
                <a:srgbClr val="878787"/>
              </a:solidFill>
              <a:round/>
            </a:ln>
          </c:spPr>
        </c:majorGridlines>
        <c:numFmt formatCode="\$#,##0.00;[RED]&quot;-$&quot;#,##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0688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118.49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6</xdr:col>
      <xdr:colOff>825480</xdr:colOff>
      <xdr:row>50</xdr:row>
      <xdr:rowOff>32760</xdr:rowOff>
    </xdr:to>
    <xdr:graphicFrame>
      <xdr:nvGraphicFramePr>
        <xdr:cNvPr id="0" name="Chart 1"/>
        <xdr:cNvGraphicFramePr/>
      </xdr:nvGraphicFramePr>
      <xdr:xfrm>
        <a:off x="211320" y="7267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7</xdr:col>
      <xdr:colOff>12600</xdr:colOff>
      <xdr:row>34</xdr:row>
      <xdr:rowOff>137520</xdr:rowOff>
    </xdr:to>
    <xdr:graphicFrame>
      <xdr:nvGraphicFramePr>
        <xdr:cNvPr id="1" name="Chart 2"/>
        <xdr:cNvGraphicFramePr/>
      </xdr:nvGraphicFramePr>
      <xdr:xfrm>
        <a:off x="2185200" y="432432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Relationship Id="rId9" Type="http://schemas.openxmlformats.org/officeDocument/2006/relationships/hyperlink" Target="../files/Clear-Budget.xlsx" TargetMode="External"/><Relationship Id="rId10" Type="http://schemas.openxmlformats.org/officeDocument/2006/relationships/hyperlink" Target="../files/Clear-Budget.xlsx" TargetMode="External"/><Relationship Id="rId11" Type="http://schemas.openxmlformats.org/officeDocument/2006/relationships/hyperlink" Target="../files/Clear-Budget.xlsx" TargetMode="External"/><Relationship Id="rId12" Type="http://schemas.openxmlformats.org/officeDocument/2006/relationships/hyperlink" Target="../files/Clear-Budget.xlsx" TargetMode="External"/><Relationship Id="rId13" Type="http://schemas.openxmlformats.org/officeDocument/2006/relationships/hyperlink" Target="../files/Clear-Budget.xlsx" TargetMode="External"/><Relationship Id="rId14" Type="http://schemas.openxmlformats.org/officeDocument/2006/relationships/hyperlink" Target="../files/Clear-Budget.xlsx" TargetMode="External"/><Relationship Id="rId15" Type="http://schemas.openxmlformats.org/officeDocument/2006/relationships/hyperlink" Target="../files/Clear-Budget.xlsx" TargetMode="External"/><Relationship Id="rId16" Type="http://schemas.openxmlformats.org/officeDocument/2006/relationships/hyperlink" Target="../files/Clear-Budget.xlsx" TargetMode="External"/><Relationship Id="rId17" Type="http://schemas.openxmlformats.org/officeDocument/2006/relationships/hyperlink" Target="../files/Clear-Budget.xlsx" TargetMode="External"/><Relationship Id="rId18" Type="http://schemas.openxmlformats.org/officeDocument/2006/relationships/hyperlink" Target="../files/Clear-Budget.xlsx" TargetMode="External"/><Relationship Id="rId19" Type="http://schemas.openxmlformats.org/officeDocument/2006/relationships/hyperlink" Target="../files/Clear-Budget.xlsx" TargetMode="External"/><Relationship Id="rId20" Type="http://schemas.openxmlformats.org/officeDocument/2006/relationships/hyperlink" Target="../files/Clear-Budget.xlsx" TargetMode="External"/>
</Relationships>
</file>

<file path=xl/worksheets/_rels/sheet2.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Relationship Id="rId9" Type="http://schemas.openxmlformats.org/officeDocument/2006/relationships/hyperlink" Target="../files/Clear-Budget.xlsx" TargetMode="External"/><Relationship Id="rId10" Type="http://schemas.openxmlformats.org/officeDocument/2006/relationships/hyperlink" Target="../files/Clear-Budget.xlsx" TargetMode="External"/><Relationship Id="rId11" Type="http://schemas.openxmlformats.org/officeDocument/2006/relationships/hyperlink" Target="../files/Clear-Budget.xlsx" TargetMode="External"/><Relationship Id="rId12" Type="http://schemas.openxmlformats.org/officeDocument/2006/relationships/hyperlink" Target="../files/Clear-Budget.xlsx" TargetMode="External"/><Relationship Id="rId13" Type="http://schemas.openxmlformats.org/officeDocument/2006/relationships/hyperlink" Target="../files/Clear-Budget.xlsx" TargetMode="External"/><Relationship Id="rId14" Type="http://schemas.openxmlformats.org/officeDocument/2006/relationships/hyperlink" Target="../files/Clear-Budget.xlsx" TargetMode="External"/><Relationship Id="rId15" Type="http://schemas.openxmlformats.org/officeDocument/2006/relationships/hyperlink" Target="../files/Clear-Budget.xlsx" TargetMode="External"/><Relationship Id="rId16" Type="http://schemas.openxmlformats.org/officeDocument/2006/relationships/hyperlink" Target="../files/Clear-Budget.xlsx" TargetMode="External"/><Relationship Id="rId17" Type="http://schemas.openxmlformats.org/officeDocument/2006/relationships/hyperlink" Target="../files/Clear-Budget.xlsx" TargetMode="External"/><Relationship Id="rId18" Type="http://schemas.openxmlformats.org/officeDocument/2006/relationships/hyperlink" Target="../files/Clear-Budget.xlsx" TargetMode="External"/><Relationship Id="rId19" Type="http://schemas.openxmlformats.org/officeDocument/2006/relationships/hyperlink" Target="../files/Clear-Budget.xlsx" TargetMode="External"/><Relationship Id="rId20" Type="http://schemas.openxmlformats.org/officeDocument/2006/relationships/hyperlink" Target="../files/Clear-Budget.xlsx" TargetMode="External"/><Relationship Id="rId2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4.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5.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6.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7.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8.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9.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0.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1.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2.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3.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4.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5.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6.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8.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9.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60"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60"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21.7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IF(SUMPRODUCT(COUNTIF(January!$C$7:$C$86,{"Rent","Weekly shop","Bus pass","Pizza night","Weekly shop","Phone bill","To emergency fund","Streaming","Card payment","Shoes"}))=0,"Done","To do")</f>
        <v>To do</v>
      </c>
      <c r="E19" s="13" t="str">
        <f aca="false">IF(SUMPRODUCT(COUNTIF(January!$C$7:$C$86,{"Rent","Weekly shop","Bus pass","Pizza night","Weekly shop","Phone bill","To emergency fund","Streaming","Card payment","Shoes"}))=0,"","Clear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r:id="rId1" location="'Start%20here'!A1" display="Start here"/>
    <hyperlink ref="D4" r:id="rId2" location="'Dashboard'!A1" display="Dashboard"/>
    <hyperlink ref="E4" r:id="rId3" location="'Setup'!A1" display="Setup"/>
    <hyperlink ref="F4" r:id="rId4" location="'January'!A1" display="Months"/>
    <hyperlink ref="G4" r:id="rId5" location="'Bills'!A1" display="Bills"/>
    <hyperlink ref="H4" r:id="rId6" location="'Paycheck%20plan'!A1" display="Paycheck"/>
    <hyperlink ref="I4" r:id="rId7" location="'Debt%20payoff'!A1" display="Debt"/>
    <hyperlink ref="J4" r:id="rId8" location="'Savings%20goals'!A1" display="Savings"/>
    <hyperlink ref="C23" r:id="rId9" location="'January'!A1" display="January"/>
    <hyperlink ref="D23" r:id="rId10" location="'February'!A1" display="February"/>
    <hyperlink ref="E23" r:id="rId11" location="'March'!A1" display="March"/>
    <hyperlink ref="C24" r:id="rId12" location="'April'!A1" display="April"/>
    <hyperlink ref="D24" r:id="rId13" location="'May'!A1" display="May"/>
    <hyperlink ref="E24" r:id="rId14" location="'June'!A1" display="June"/>
    <hyperlink ref="C25" r:id="rId15" location="'July'!A1" display="July"/>
    <hyperlink ref="D25" r:id="rId16" location="'August'!A1" display="August"/>
    <hyperlink ref="E25" r:id="rId17" location="'September'!A1" display="September"/>
    <hyperlink ref="C26" r:id="rId18" location="'October'!A1" display="October"/>
    <hyperlink ref="D26" r:id="rId19" location="'November'!A1" display="November"/>
    <hyperlink ref="E26" r:id="rId20"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7" min="2"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59</v>
      </c>
      <c r="C6" s="10" t="s">
        <v>60</v>
      </c>
      <c r="D6" s="10" t="s">
        <v>61</v>
      </c>
      <c r="E6" s="10" t="s">
        <v>62</v>
      </c>
      <c r="F6" s="10" t="s">
        <v>63</v>
      </c>
      <c r="H6" s="10" t="s">
        <v>64</v>
      </c>
      <c r="I6" s="10" t="s">
        <v>65</v>
      </c>
    </row>
    <row r="7" customFormat="false" ht="15" hidden="false" customHeight="false" outlineLevel="0" collapsed="false">
      <c r="B7" s="21" t="s">
        <v>12</v>
      </c>
      <c r="C7" s="22" t="n">
        <f aca="false">IF(COUNT(January!$E$7:$E$86)&gt;0,January!H6,"")</f>
        <v>3900</v>
      </c>
      <c r="D7" s="22" t="n">
        <f aca="false">IF(COUNT(January!$E$7:$E$86)&gt;0,January!H7,"")</f>
        <v>1992.09</v>
      </c>
      <c r="E7" s="22" t="n">
        <f aca="false">IF(COUNT(January!$E$7:$E$86)&gt;0,January!H8,"")</f>
        <v>1907.91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5" hidden="false" customHeight="fals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5" hidden="false" customHeight="fals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5" hidden="false" customHeight="fals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5" hidden="false" customHeight="fals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5" hidden="false" customHeight="fals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5" hidden="false" customHeight="fals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5" hidden="false" customHeight="fals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5" hidden="false" customHeight="fals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5" hidden="false" customHeight="fals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5" hidden="false" customHeight="fals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0</v>
      </c>
      <c r="J17" s="11" t="str">
        <f aca="false">IF(H17="","",Setup!F20)</f>
        <v>Wants</v>
      </c>
    </row>
    <row r="18" customFormat="false" ht="15" hidden="false" customHeight="fals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5" hidden="false" customHeight="false" outlineLevel="0" collapsed="false">
      <c r="B19" s="19" t="s">
        <v>66</v>
      </c>
      <c r="C19" s="23" t="n">
        <f aca="false">SUM(C7:C18)</f>
        <v>3900</v>
      </c>
      <c r="D19" s="23" t="n">
        <f aca="false">SUM(D7:D18)</f>
        <v>1992.09</v>
      </c>
      <c r="E19" s="23" t="n">
        <f aca="false">SUM(E7:E18)</f>
        <v>1907.91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5" hidden="false" customHeight="fals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5" hidden="false" customHeight="fals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5" hidden="false" customHeight="fals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21.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5" hidden="false" customHeight="fals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5" hidden="false" customHeight="false" outlineLevel="0" collapsed="false">
      <c r="B25" s="11" t="s">
        <v>70</v>
      </c>
      <c r="C25" s="22" t="n">
        <f aca="false">SUMIF($J$7:$J$36,"Wants",$I$7:$I$36)</f>
        <v>118.49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5" hidden="false" customHeight="fals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5" hidden="false" customHeight="fals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5" hidden="false" customHeight="fals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5" hidden="false" customHeight="fals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5" hidden="false" customHeight="fals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5" hidden="false" customHeight="fals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5" hidden="false" customHeight="fals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5" hidden="false" customHeight="fals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5" hidden="false" customHeight="fals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5" hidden="false" customHeight="fals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5" hidden="false" customHeight="fals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 ref="B7" r:id="rId9" location="'January'!A1" display="January"/>
    <hyperlink ref="B8" r:id="rId10" location="'February'!A1" display="February"/>
    <hyperlink ref="B9" r:id="rId11" location="'March'!A1" display="March"/>
    <hyperlink ref="B10" r:id="rId12" location="'April'!A1" display="April"/>
    <hyperlink ref="B11" r:id="rId13" location="'May'!A1" display="May"/>
    <hyperlink ref="B12" r:id="rId14" location="'June'!A1" display="June"/>
    <hyperlink ref="B13" r:id="rId15" location="'July'!A1" display="July"/>
    <hyperlink ref="B14" r:id="rId16" location="'August'!A1" display="August"/>
    <hyperlink ref="B15" r:id="rId17" location="'September'!A1" display="September"/>
    <hyperlink ref="B16" r:id="rId18" location="'October'!A1" display="October"/>
    <hyperlink ref="B17" r:id="rId19" location="'November'!A1" display="November"/>
    <hyperlink ref="B18" r:id="rId20"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21.7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t="n">
        <v>46390</v>
      </c>
      <c r="C7" s="17" t="s">
        <v>105</v>
      </c>
      <c r="D7" s="17" t="s">
        <v>77</v>
      </c>
      <c r="E7" s="26" t="n">
        <v>1200</v>
      </c>
      <c r="G7" s="31" t="s">
        <v>61</v>
      </c>
      <c r="H7" s="32" t="n">
        <f aca="false">SUM(E7:E86)</f>
        <v>1992.09</v>
      </c>
    </row>
    <row r="8" customFormat="false" ht="15" hidden="false" customHeight="false" outlineLevel="0" collapsed="false">
      <c r="B8" s="30" t="n">
        <v>46391</v>
      </c>
      <c r="C8" s="17" t="s">
        <v>106</v>
      </c>
      <c r="D8" s="17" t="s">
        <v>80</v>
      </c>
      <c r="E8" s="26" t="n">
        <v>112.4</v>
      </c>
      <c r="G8" s="31" t="s">
        <v>62</v>
      </c>
      <c r="H8" s="32" t="n">
        <f aca="false">H6-H7</f>
        <v>1907.91</v>
      </c>
    </row>
    <row r="9" customFormat="false" ht="15" hidden="false" customHeight="false" outlineLevel="0" collapsed="false">
      <c r="B9" s="30" t="n">
        <v>46393</v>
      </c>
      <c r="C9" s="17" t="s">
        <v>107</v>
      </c>
      <c r="D9" s="17" t="s">
        <v>81</v>
      </c>
      <c r="E9" s="26" t="n">
        <v>60</v>
      </c>
      <c r="G9" s="31" t="s">
        <v>108</v>
      </c>
      <c r="H9" s="32" t="n">
        <f aca="false">SUMPRODUCT(SUMIFS($E$7:$E$86,$D$7:$D$86,Setup!$E$10:$E$39)*((Setup!$F$10:$F$39="Savings")+(Setup!$F$10:$F$39="Debt")))</f>
        <v>350</v>
      </c>
    </row>
    <row r="10" customFormat="false" ht="15" hidden="false" customHeight="false" outlineLevel="0" collapsed="false">
      <c r="B10" s="30" t="n">
        <v>46396</v>
      </c>
      <c r="C10" s="17" t="s">
        <v>109</v>
      </c>
      <c r="D10" s="17" t="s">
        <v>85</v>
      </c>
      <c r="E10" s="26" t="n">
        <v>38.5</v>
      </c>
    </row>
    <row r="11" customFormat="false" ht="21.75" hidden="false" customHeight="true" outlineLevel="0" collapsed="false">
      <c r="B11" s="30" t="n">
        <v>46398</v>
      </c>
      <c r="C11" s="17" t="s">
        <v>106</v>
      </c>
      <c r="D11" s="17" t="s">
        <v>80</v>
      </c>
      <c r="E11" s="26" t="n">
        <v>96.2</v>
      </c>
      <c r="G11" s="10" t="s">
        <v>64</v>
      </c>
      <c r="H11" s="10" t="s">
        <v>110</v>
      </c>
      <c r="I11" s="10" t="s">
        <v>61</v>
      </c>
      <c r="J11" s="10" t="s">
        <v>111</v>
      </c>
      <c r="K11" s="10" t="s">
        <v>112</v>
      </c>
    </row>
    <row r="12" customFormat="false" ht="15" hidden="false" customHeight="false" outlineLevel="0" collapsed="false">
      <c r="B12" s="30" t="n">
        <v>46401</v>
      </c>
      <c r="C12" s="17" t="s">
        <v>113</v>
      </c>
      <c r="D12" s="17" t="s">
        <v>83</v>
      </c>
      <c r="E12" s="26" t="n">
        <v>55</v>
      </c>
      <c r="G12" s="11" t="str">
        <f aca="false">IF(Setup!E10="","",Setup!E10)</f>
        <v>Rent or mortgage</v>
      </c>
      <c r="H12" s="22" t="n">
        <f aca="false">IF(G12="","",Setup!G10)</f>
        <v>1400</v>
      </c>
      <c r="I12" s="22" t="n">
        <f aca="false">IF(G12="","",SUMIFS($E$7:$E$86,$D$7:$D$86,G12))</f>
        <v>1200</v>
      </c>
      <c r="J12" s="22" t="n">
        <f aca="false">IF(G12="","",H12-I12)</f>
        <v>200</v>
      </c>
      <c r="K12" s="33" t="n">
        <f aca="false">IF(OR(G12="",H12=0),"",I12/H12)</f>
        <v>0.857142857142857</v>
      </c>
    </row>
    <row r="13" customFormat="false" ht="15" hidden="false" customHeight="false" outlineLevel="0" collapsed="false">
      <c r="B13" s="30" t="n">
        <v>46402</v>
      </c>
      <c r="C13" s="17" t="s">
        <v>114</v>
      </c>
      <c r="D13" s="17" t="s">
        <v>92</v>
      </c>
      <c r="E13" s="26" t="n">
        <v>200</v>
      </c>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t="n">
        <v>46405</v>
      </c>
      <c r="C14" s="17" t="s">
        <v>115</v>
      </c>
      <c r="D14" s="17" t="s">
        <v>88</v>
      </c>
      <c r="E14" s="26" t="n">
        <v>15.99</v>
      </c>
      <c r="G14" s="11" t="str">
        <f aca="false">IF(Setup!E12="","",Setup!E12)</f>
        <v>Groceries</v>
      </c>
      <c r="H14" s="22" t="n">
        <f aca="false">IF(G14="","",Setup!G12)</f>
        <v>500</v>
      </c>
      <c r="I14" s="22" t="n">
        <f aca="false">IF(G14="","",SUMIFS($E$7:$E$86,$D$7:$D$86,G14))</f>
        <v>208.6</v>
      </c>
      <c r="J14" s="22" t="n">
        <f aca="false">IF(G14="","",H14-I14)</f>
        <v>291.4</v>
      </c>
      <c r="K14" s="33" t="n">
        <f aca="false">IF(OR(G14="",H14=0),"",I14/H14)</f>
        <v>0.4172</v>
      </c>
    </row>
    <row r="15" customFormat="false" ht="15" hidden="false" customHeight="false" outlineLevel="0" collapsed="false">
      <c r="B15" s="30" t="n">
        <v>46408</v>
      </c>
      <c r="C15" s="17" t="s">
        <v>116</v>
      </c>
      <c r="D15" s="17" t="s">
        <v>95</v>
      </c>
      <c r="E15" s="26" t="n">
        <v>150</v>
      </c>
      <c r="G15" s="11" t="str">
        <f aca="false">IF(Setup!E13="","",Setup!E13)</f>
        <v>Transport</v>
      </c>
      <c r="H15" s="22" t="n">
        <f aca="false">IF(G15="","",Setup!G13)</f>
        <v>220</v>
      </c>
      <c r="I15" s="22" t="n">
        <f aca="false">IF(G15="","",SUMIFS($E$7:$E$86,$D$7:$D$86,G15))</f>
        <v>60</v>
      </c>
      <c r="J15" s="22" t="n">
        <f aca="false">IF(G15="","",H15-I15)</f>
        <v>160</v>
      </c>
      <c r="K15" s="33" t="n">
        <f aca="false">IF(OR(G15="",H15=0),"",I15/H15)</f>
        <v>0.272727272727273</v>
      </c>
    </row>
    <row r="16" customFormat="false" ht="15" hidden="false" customHeight="false" outlineLevel="0" collapsed="false">
      <c r="B16" s="30" t="n">
        <v>46412</v>
      </c>
      <c r="C16" s="17" t="s">
        <v>117</v>
      </c>
      <c r="D16" s="17" t="s">
        <v>87</v>
      </c>
      <c r="E16" s="26" t="n">
        <v>64</v>
      </c>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55</v>
      </c>
      <c r="J17" s="22" t="n">
        <f aca="false">IF(G17="","",H17-I17)</f>
        <v>40</v>
      </c>
      <c r="K17" s="33" t="n">
        <f aca="false">IF(OR(G17="",H17=0),"",I17/H17)</f>
        <v>0.578947368421053</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38.5</v>
      </c>
      <c r="J19" s="22" t="n">
        <f aca="false">IF(G19="","",H19-I19)</f>
        <v>111.5</v>
      </c>
      <c r="K19" s="33" t="n">
        <f aca="false">IF(OR(G19="",H19=0),"",I19/H19)</f>
        <v>0.256666666666667</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64</v>
      </c>
      <c r="J20" s="22" t="n">
        <f aca="false">IF(G20="","",H20-I20)</f>
        <v>56</v>
      </c>
      <c r="K20" s="33" t="n">
        <f aca="false">IF(OR(G20="",H20=0),"",I20/H20)</f>
        <v>0.533333333333333</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15.99</v>
      </c>
      <c r="J21" s="22" t="n">
        <f aca="false">IF(G21="","",H21-I21)</f>
        <v>29.01</v>
      </c>
      <c r="K21" s="33" t="n">
        <f aca="false">IF(OR(G21="",H21=0),"",I21/H21)</f>
        <v>0.355333333333333</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200</v>
      </c>
      <c r="J25" s="22" t="n">
        <f aca="false">IF(G25="","",H25-I25)</f>
        <v>0</v>
      </c>
      <c r="K25" s="33" t="n">
        <f aca="false">IF(OR(G25="",H25=0),"",I25/H25)</f>
        <v>1</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150</v>
      </c>
      <c r="J28" s="22" t="n">
        <f aca="false">IF(G28="","",H28-I28)</f>
        <v>0</v>
      </c>
      <c r="K28" s="33" t="n">
        <f aca="false">IF(OR(G28="",H28=0),"",I28/H28)</f>
        <v>1</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{9951EF64-182C-43EA-93C8-2CDA19405FB7}</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951EF64-182C-43EA-93C8-2CDA19405FB7}">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{C4CDDC1B-47FE-4291-A3FB-4795DDE5EAC1}</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4CDDC1B-47FE-4291-A3FB-4795DDE5EAC1}">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{AAC6B72D-3A36-4E98-8E81-88DAEB84F727}</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AAC6B72D-3A36-4E98-8E81-88DAEB84F727}">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{F76153D5-9DA1-4AFE-9620-F0AF2B1060FF}</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F76153D5-9DA1-4AFE-9620-F0AF2B1060FF}">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{8C6C3A85-446B-4319-93FE-9846F5EF501A}</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C6C3A85-446B-4319-93FE-9846F5EF501A}">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{F9D37BED-4064-48B4-8A7A-787CC08DC397}</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F9D37BED-4064-48B4-8A7A-787CC08DC397}">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{D4141AB6-1346-49BA-88EF-96A0ECAA648A}</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D4141AB6-1346-49BA-88EF-96A0ECAA648A}">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{107B60FF-175B-4A7A-AE86-1063556FD2F5}</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07B60FF-175B-4A7A-AE86-1063556FD2F5}">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{B8C56F60-D546-4C43-8A7E-7DB260E724C4}</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8C56F60-D546-4C43-8A7E-7DB260E724C4}">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{3CF4652D-DCE0-4D97-B29A-325E8922BDAC}</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3CF4652D-DCE0-4D97-B29A-325E8922BDAC}">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{3323BD54-9920-4662-A570-C84899F0C48B}</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3323BD54-9920-4662-A570-C84899F0C48B}">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{84764CE0-206A-4C32-9D7D-187D244B5915}</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4764CE0-206A-4C32-9D7D-187D244B5915}">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118</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119</v>
      </c>
      <c r="C6" s="10" t="s">
        <v>120</v>
      </c>
      <c r="D6" s="10" t="s">
        <v>102</v>
      </c>
      <c r="E6" s="10" t="s">
        <v>121</v>
      </c>
      <c r="F6" s="10" t="s">
        <v>122</v>
      </c>
      <c r="G6" s="10" t="s">
        <v>123</v>
      </c>
      <c r="H6" s="10" t="s">
        <v>124</v>
      </c>
      <c r="I6" s="10" t="s">
        <v>125</v>
      </c>
      <c r="J6" s="10" t="s">
        <v>24</v>
      </c>
      <c r="K6" s="10" t="s">
        <v>126</v>
      </c>
      <c r="L6" s="10" t="s">
        <v>127</v>
      </c>
      <c r="M6" s="10" t="s">
        <v>128</v>
      </c>
      <c r="N6" s="10" t="s">
        <v>129</v>
      </c>
      <c r="O6" s="10" t="s">
        <v>130</v>
      </c>
      <c r="P6" s="10" t="s">
        <v>131</v>
      </c>
      <c r="Q6" s="10" t="s">
        <v>132</v>
      </c>
    </row>
    <row r="7" customFormat="false" ht="15" hidden="false" customHeight="false" outlineLevel="0" collapsed="false">
      <c r="B7" s="17" t="s">
        <v>105</v>
      </c>
      <c r="C7" s="25" t="n">
        <v>1</v>
      </c>
      <c r="D7" s="26" t="n">
        <v>1400</v>
      </c>
      <c r="E7" s="17" t="s">
        <v>133</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17" t="s">
        <v>133</v>
      </c>
      <c r="F8" s="34"/>
      <c r="G8" s="34"/>
      <c r="H8" s="34"/>
      <c r="I8" s="34"/>
      <c r="J8" s="34"/>
      <c r="K8" s="34"/>
      <c r="L8" s="34"/>
      <c r="M8" s="34"/>
      <c r="N8" s="34"/>
      <c r="O8" s="34"/>
      <c r="P8" s="34"/>
      <c r="Q8" s="34"/>
    </row>
    <row r="9" customFormat="false" ht="15" hidden="false" customHeight="false" outlineLevel="0" collapsed="false">
      <c r="B9" s="17" t="s">
        <v>115</v>
      </c>
      <c r="C9" s="25" t="n">
        <v>18</v>
      </c>
      <c r="D9" s="26" t="n">
        <v>15.99</v>
      </c>
      <c r="E9" s="17" t="s">
        <v>133</v>
      </c>
      <c r="F9" s="34"/>
      <c r="G9" s="34"/>
      <c r="H9" s="34"/>
      <c r="I9" s="34"/>
      <c r="J9" s="34"/>
      <c r="K9" s="34"/>
      <c r="L9" s="34"/>
      <c r="M9" s="34"/>
      <c r="N9" s="34"/>
      <c r="O9" s="34"/>
      <c r="P9" s="34"/>
      <c r="Q9" s="34"/>
    </row>
    <row r="10" customFormat="false" ht="15" hidden="false" customHeight="false" outlineLevel="0" collapsed="false">
      <c r="B10" s="17" t="s">
        <v>134</v>
      </c>
      <c r="C10" s="25" t="n">
        <v>20</v>
      </c>
      <c r="D10" s="26" t="n">
        <v>160</v>
      </c>
      <c r="E10" s="17" t="s">
        <v>135</v>
      </c>
      <c r="F10" s="34"/>
      <c r="G10" s="34"/>
      <c r="H10" s="34"/>
      <c r="I10" s="34"/>
      <c r="J10" s="34"/>
      <c r="K10" s="34"/>
      <c r="L10" s="34"/>
      <c r="M10" s="34"/>
      <c r="N10" s="34"/>
      <c r="O10" s="34"/>
      <c r="P10" s="34"/>
      <c r="Q10" s="34"/>
    </row>
    <row r="11" customFormat="false" ht="15" hidden="false" customHeight="false" outlineLevel="0" collapsed="false">
      <c r="B11" s="17" t="s">
        <v>136</v>
      </c>
      <c r="C11" s="25" t="n">
        <v>22</v>
      </c>
      <c r="D11" s="26" t="n">
        <v>90</v>
      </c>
      <c r="E11" s="17" t="s">
        <v>135</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17" t="s">
        <v>135</v>
      </c>
      <c r="F12" s="34"/>
      <c r="G12" s="34"/>
      <c r="H12" s="34"/>
      <c r="I12" s="34"/>
      <c r="J12" s="34"/>
      <c r="K12" s="34"/>
      <c r="L12" s="34"/>
      <c r="M12" s="34"/>
      <c r="N12" s="34"/>
      <c r="O12" s="34"/>
      <c r="P12" s="34"/>
      <c r="Q12" s="34"/>
    </row>
    <row r="13" customFormat="false" ht="15" hidden="false" customHeight="false" outlineLevel="0" collapsed="false">
      <c r="B13" s="17"/>
      <c r="C13" s="25"/>
      <c r="D13" s="26"/>
      <c r="E13" s="17"/>
      <c r="F13" s="34"/>
      <c r="G13" s="34"/>
      <c r="H13" s="34"/>
      <c r="I13" s="34"/>
      <c r="J13" s="34"/>
      <c r="K13" s="34"/>
      <c r="L13" s="34"/>
      <c r="M13" s="34"/>
      <c r="N13" s="34"/>
      <c r="O13" s="34"/>
      <c r="P13" s="34"/>
      <c r="Q13" s="34"/>
    </row>
    <row r="14" customFormat="false" ht="15" hidden="false" customHeight="false" outlineLevel="0" collapsed="false">
      <c r="B14" s="17"/>
      <c r="C14" s="25"/>
      <c r="D14" s="26"/>
      <c r="E14" s="17"/>
      <c r="F14" s="34"/>
      <c r="G14" s="34"/>
      <c r="H14" s="34"/>
      <c r="I14" s="34"/>
      <c r="J14" s="34"/>
      <c r="K14" s="34"/>
      <c r="L14" s="34"/>
      <c r="M14" s="34"/>
      <c r="N14" s="34"/>
      <c r="O14" s="34"/>
      <c r="P14" s="34"/>
      <c r="Q14" s="34"/>
    </row>
    <row r="15" customFormat="false" ht="15" hidden="false" customHeight="false" outlineLevel="0" collapsed="false">
      <c r="B15" s="17"/>
      <c r="C15" s="25"/>
      <c r="D15" s="26"/>
      <c r="E15" s="17"/>
      <c r="F15" s="34"/>
      <c r="G15" s="34"/>
      <c r="H15" s="34"/>
      <c r="I15" s="34"/>
      <c r="J15" s="34"/>
      <c r="K15" s="34"/>
      <c r="L15" s="34"/>
      <c r="M15" s="34"/>
      <c r="N15" s="34"/>
      <c r="O15" s="34"/>
      <c r="P15" s="34"/>
      <c r="Q15" s="34"/>
    </row>
    <row r="16" customFormat="false" ht="15" hidden="false" customHeight="false" outlineLevel="0" collapsed="false">
      <c r="B16" s="17"/>
      <c r="C16" s="25"/>
      <c r="D16" s="26"/>
      <c r="E16" s="17"/>
      <c r="F16" s="34"/>
      <c r="G16" s="34"/>
      <c r="H16" s="34"/>
      <c r="I16" s="34"/>
      <c r="J16" s="34"/>
      <c r="K16" s="34"/>
      <c r="L16" s="34"/>
      <c r="M16" s="34"/>
      <c r="N16" s="34"/>
      <c r="O16" s="34"/>
      <c r="P16" s="34"/>
      <c r="Q16" s="34"/>
    </row>
    <row r="17" customFormat="false" ht="15" hidden="false" customHeight="false" outlineLevel="0" collapsed="false">
      <c r="B17" s="17"/>
      <c r="C17" s="25"/>
      <c r="D17" s="26"/>
      <c r="E17" s="17"/>
      <c r="F17" s="34"/>
      <c r="G17" s="34"/>
      <c r="H17" s="34"/>
      <c r="I17" s="34"/>
      <c r="J17" s="34"/>
      <c r="K17" s="34"/>
      <c r="L17" s="34"/>
      <c r="M17" s="34"/>
      <c r="N17" s="34"/>
      <c r="O17" s="34"/>
      <c r="P17" s="34"/>
      <c r="Q17" s="34"/>
    </row>
    <row r="18" customFormat="false" ht="15" hidden="false" customHeight="false" outlineLevel="0" collapsed="false">
      <c r="B18" s="17"/>
      <c r="C18" s="25"/>
      <c r="D18" s="26"/>
      <c r="E18" s="17"/>
      <c r="F18" s="34"/>
      <c r="G18" s="34"/>
      <c r="H18" s="34"/>
      <c r="I18" s="34"/>
      <c r="J18" s="34"/>
      <c r="K18" s="34"/>
      <c r="L18" s="34"/>
      <c r="M18" s="34"/>
      <c r="N18" s="34"/>
      <c r="O18" s="34"/>
      <c r="P18" s="34"/>
      <c r="Q18" s="34"/>
    </row>
    <row r="19" customFormat="false" ht="15" hidden="false" customHeight="false" outlineLevel="0" collapsed="false">
      <c r="B19" s="17"/>
      <c r="C19" s="25"/>
      <c r="D19" s="26"/>
      <c r="E19" s="17"/>
      <c r="F19" s="34"/>
      <c r="G19" s="34"/>
      <c r="H19" s="34"/>
      <c r="I19" s="34"/>
      <c r="J19" s="34"/>
      <c r="K19" s="34"/>
      <c r="L19" s="34"/>
      <c r="M19" s="34"/>
      <c r="N19" s="34"/>
      <c r="O19" s="34"/>
      <c r="P19" s="34"/>
      <c r="Q19" s="34"/>
    </row>
    <row r="20" customFormat="false" ht="15" hidden="false" customHeight="false" outlineLevel="0" collapsed="false">
      <c r="B20" s="17"/>
      <c r="C20" s="25"/>
      <c r="D20" s="26"/>
      <c r="E20" s="17"/>
      <c r="F20" s="34"/>
      <c r="G20" s="34"/>
      <c r="H20" s="34"/>
      <c r="I20" s="34"/>
      <c r="J20" s="34"/>
      <c r="K20" s="34"/>
      <c r="L20" s="34"/>
      <c r="M20" s="34"/>
      <c r="N20" s="34"/>
      <c r="O20" s="34"/>
      <c r="P20" s="34"/>
      <c r="Q20" s="34"/>
    </row>
    <row r="21" customFormat="false" ht="15" hidden="false" customHeight="false" outlineLevel="0" collapsed="false">
      <c r="B21" s="17"/>
      <c r="C21" s="25"/>
      <c r="D21" s="26"/>
      <c r="E21" s="17"/>
      <c r="F21" s="34"/>
      <c r="G21" s="34"/>
      <c r="H21" s="34"/>
      <c r="I21" s="34"/>
      <c r="J21" s="34"/>
      <c r="K21" s="34"/>
      <c r="L21" s="34"/>
      <c r="M21" s="34"/>
      <c r="N21" s="34"/>
      <c r="O21" s="34"/>
      <c r="P21" s="34"/>
      <c r="Q21" s="34"/>
    </row>
    <row r="22" customFormat="false" ht="15" hidden="false" customHeight="false" outlineLevel="0" collapsed="false">
      <c r="B22" s="17"/>
      <c r="C22" s="25"/>
      <c r="D22" s="26"/>
      <c r="E22" s="17"/>
      <c r="F22" s="34"/>
      <c r="G22" s="34"/>
      <c r="H22" s="34"/>
      <c r="I22" s="34"/>
      <c r="J22" s="34"/>
      <c r="K22" s="34"/>
      <c r="L22" s="34"/>
      <c r="M22" s="34"/>
      <c r="N22" s="34"/>
      <c r="O22" s="34"/>
      <c r="P22" s="34"/>
      <c r="Q22" s="34"/>
    </row>
    <row r="23" customFormat="false" ht="15" hidden="false" customHeight="false" outlineLevel="0" collapsed="false">
      <c r="B23" s="17"/>
      <c r="C23" s="25"/>
      <c r="D23" s="26"/>
      <c r="E23" s="17"/>
      <c r="F23" s="34"/>
      <c r="G23" s="34"/>
      <c r="H23" s="34"/>
      <c r="I23" s="34"/>
      <c r="J23" s="34"/>
      <c r="K23" s="34"/>
      <c r="L23" s="34"/>
      <c r="M23" s="34"/>
      <c r="N23" s="34"/>
      <c r="O23" s="34"/>
      <c r="P23" s="34"/>
      <c r="Q23" s="34"/>
    </row>
    <row r="24" customFormat="false" ht="15" hidden="false" customHeight="false" outlineLevel="0" collapsed="false">
      <c r="B24" s="17"/>
      <c r="C24" s="25"/>
      <c r="D24" s="26"/>
      <c r="E24" s="17"/>
      <c r="F24" s="34"/>
      <c r="G24" s="34"/>
      <c r="H24" s="34"/>
      <c r="I24" s="34"/>
      <c r="J24" s="34"/>
      <c r="K24" s="34"/>
      <c r="L24" s="34"/>
      <c r="M24" s="34"/>
      <c r="N24" s="34"/>
      <c r="O24" s="34"/>
      <c r="P24" s="34"/>
      <c r="Q24" s="34"/>
    </row>
    <row r="25" customFormat="false" ht="15" hidden="false" customHeight="false" outlineLevel="0" collapsed="false">
      <c r="B25" s="17"/>
      <c r="C25" s="25"/>
      <c r="D25" s="26"/>
      <c r="E25" s="17"/>
      <c r="F25" s="34"/>
      <c r="G25" s="34"/>
      <c r="H25" s="34"/>
      <c r="I25" s="34"/>
      <c r="J25" s="34"/>
      <c r="K25" s="34"/>
      <c r="L25" s="34"/>
      <c r="M25" s="34"/>
      <c r="N25" s="34"/>
      <c r="O25" s="34"/>
      <c r="P25" s="34"/>
      <c r="Q25" s="34"/>
    </row>
    <row r="26" customFormat="false" ht="15" hidden="false" customHeight="false" outlineLevel="0" collapsed="false">
      <c r="B26" s="17"/>
      <c r="C26" s="25"/>
      <c r="D26" s="26"/>
      <c r="E26" s="17"/>
      <c r="F26" s="34"/>
      <c r="G26" s="34"/>
      <c r="H26" s="34"/>
      <c r="I26" s="34"/>
      <c r="J26" s="34"/>
      <c r="K26" s="34"/>
      <c r="L26" s="34"/>
      <c r="M26" s="34"/>
      <c r="N26" s="34"/>
      <c r="O26" s="34"/>
      <c r="P26" s="34"/>
      <c r="Q26" s="34"/>
    </row>
    <row r="27" customFormat="false" ht="15" hidden="false" customHeight="false" outlineLevel="0" collapsed="false">
      <c r="B27" s="17"/>
      <c r="C27" s="25"/>
      <c r="D27" s="26"/>
      <c r="E27" s="17"/>
      <c r="F27" s="34"/>
      <c r="G27" s="34"/>
      <c r="H27" s="34"/>
      <c r="I27" s="34"/>
      <c r="J27" s="34"/>
      <c r="K27" s="34"/>
      <c r="L27" s="34"/>
      <c r="M27" s="34"/>
      <c r="N27" s="34"/>
      <c r="O27" s="34"/>
      <c r="P27" s="34"/>
      <c r="Q27" s="34"/>
    </row>
    <row r="28" customFormat="false" ht="15" hidden="false" customHeight="false" outlineLevel="0" collapsed="false">
      <c r="B28" s="17"/>
      <c r="C28" s="25"/>
      <c r="D28" s="26"/>
      <c r="E28" s="17"/>
      <c r="F28" s="34"/>
      <c r="G28" s="34"/>
      <c r="H28" s="34"/>
      <c r="I28" s="34"/>
      <c r="J28" s="34"/>
      <c r="K28" s="34"/>
      <c r="L28" s="34"/>
      <c r="M28" s="34"/>
      <c r="N28" s="34"/>
      <c r="O28" s="34"/>
      <c r="P28" s="34"/>
      <c r="Q28" s="34"/>
    </row>
    <row r="29" customFormat="false" ht="15" hidden="false" customHeight="false" outlineLevel="0" collapsed="false">
      <c r="B29" s="17"/>
      <c r="C29" s="25"/>
      <c r="D29" s="26"/>
      <c r="E29" s="17"/>
      <c r="F29" s="34"/>
      <c r="G29" s="34"/>
      <c r="H29" s="34"/>
      <c r="I29" s="34"/>
      <c r="J29" s="34"/>
      <c r="K29" s="34"/>
      <c r="L29" s="34"/>
      <c r="M29" s="34"/>
      <c r="N29" s="34"/>
      <c r="O29" s="34"/>
      <c r="P29" s="34"/>
      <c r="Q29" s="34"/>
    </row>
    <row r="30" customFormat="false" ht="15" hidden="false" customHeight="false" outlineLevel="0" collapsed="false">
      <c r="B30" s="17"/>
      <c r="C30" s="25"/>
      <c r="D30" s="26"/>
      <c r="E30" s="17"/>
      <c r="F30" s="34"/>
      <c r="G30" s="34"/>
      <c r="H30" s="34"/>
      <c r="I30" s="34"/>
      <c r="J30" s="34"/>
      <c r="K30" s="34"/>
      <c r="L30" s="34"/>
      <c r="M30" s="34"/>
      <c r="N30" s="34"/>
      <c r="O30" s="34"/>
      <c r="P30" s="34"/>
      <c r="Q30" s="34"/>
    </row>
    <row r="31" customFormat="false" ht="15" hidden="false" customHeight="false" outlineLevel="0" collapsed="false">
      <c r="B31" s="17"/>
      <c r="C31" s="25"/>
      <c r="D31" s="26"/>
      <c r="E31" s="17"/>
      <c r="F31" s="34"/>
      <c r="G31" s="34"/>
      <c r="H31" s="34"/>
      <c r="I31" s="34"/>
      <c r="J31" s="34"/>
      <c r="K31" s="34"/>
      <c r="L31" s="34"/>
      <c r="M31" s="34"/>
      <c r="N31" s="34"/>
      <c r="O31" s="34"/>
      <c r="P31" s="34"/>
      <c r="Q31" s="34"/>
    </row>
    <row r="32" customFormat="false" ht="15" hidden="false" customHeight="false" outlineLevel="0" collapsed="false">
      <c r="B32" s="19" t="s">
        <v>137</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138</v>
      </c>
    </row>
    <row r="3" customFormat="false" ht="15" hidden="false" customHeight="false" outlineLevel="0" collapsed="false">
      <c r="B3" s="2" t="s">
        <v>139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140</v>
      </c>
      <c r="C6" s="35" t="n">
        <f aca="false">DATE(Year,1,1)+MOD(6-WEEKDAY(DATE(Year,1,1)),7)</f>
        <v>46388</v>
      </c>
    </row>
    <row r="7" customFormat="false" ht="15" hidden="false" customHeight="false" outlineLevel="0" collapsed="false">
      <c r="B7" s="19" t="s">
        <v>141</v>
      </c>
      <c r="C7" s="17" t="s">
        <v>142</v>
      </c>
    </row>
    <row r="8" customFormat="false" ht="15" hidden="false" customHeight="false" outlineLevel="0" collapsed="false">
      <c r="B8" s="19" t="s">
        <v>143</v>
      </c>
      <c r="C8" s="26" t="n">
        <f aca="false">ROUND(Setup!$C$10*12/CHOOSE(MATCH($C$7,{"Weekly","Every 2 weeks","Twice a month","Monthly"},0),52,26,24,12),2)</f>
        <v>1661.54</v>
      </c>
      <c r="D8" s="29" t="s">
        <v>144</v>
      </c>
    </row>
    <row r="10" customFormat="false" ht="21.75" hidden="false" customHeight="true" outlineLevel="0" collapsed="false">
      <c r="B10" s="10" t="s">
        <v>145</v>
      </c>
      <c r="C10" s="10" t="s">
        <v>7</v>
      </c>
      <c r="D10" s="10" t="s">
        <v>146</v>
      </c>
      <c r="E10" s="10" t="s">
        <v>147</v>
      </c>
      <c r="F10" s="10" t="s">
        <v>140</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sheetData>
  <sheetProtection sheet="true" formatColumns="false" formatRows="false" insertRows="false" sort="false" autoFilter="false"/>
  <conditionalFormatting sqref="E11:E37">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6"/>
    <col collapsed="false" customWidth="true" hidden="false" outlineLevel="0" max="8" min="8" style="0" width="18"/>
    <col collapsed="false" customWidth="true" hidden="false" outlineLevel="0" max="29" min="9" style="0" width="14"/>
  </cols>
  <sheetData>
    <row r="2" customFormat="false" ht="33.75" hidden="false" customHeight="true" outlineLevel="0" collapsed="false">
      <c r="B2" s="1" t="s">
        <v>148</v>
      </c>
    </row>
    <row r="3" customFormat="false" ht="15" hidden="false" customHeight="false" outlineLevel="0" collapsed="false">
      <c r="B3" s="2" t="s">
        <v>149</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150</v>
      </c>
      <c r="C6" s="17" t="s">
        <v>151</v>
      </c>
    </row>
    <row r="7" customFormat="false" ht="15" hidden="false" customHeight="false" outlineLevel="0" collapsed="false">
      <c r="B7" s="19" t="s">
        <v>152</v>
      </c>
      <c r="C7" s="26" t="n">
        <v>100</v>
      </c>
    </row>
    <row r="9" customFormat="false" ht="21.75" hidden="false" customHeight="true" outlineLevel="0" collapsed="false">
      <c r="B9" s="10" t="s">
        <v>8</v>
      </c>
      <c r="C9" s="10" t="s">
        <v>153</v>
      </c>
      <c r="D9" s="10" t="s">
        <v>154</v>
      </c>
      <c r="E9" s="10" t="s">
        <v>155</v>
      </c>
      <c r="F9" s="10" t="s">
        <v>156</v>
      </c>
      <c r="G9" s="10" t="s">
        <v>157</v>
      </c>
      <c r="H9" s="10" t="s">
        <v>158</v>
      </c>
    </row>
    <row r="10" customFormat="false" ht="15" hidden="false" customHeight="false" outlineLevel="0" collapsed="false">
      <c r="B10" s="17" t="s">
        <v>95</v>
      </c>
      <c r="C10" s="26" t="n">
        <v>2400</v>
      </c>
      <c r="D10" s="38" t="n">
        <v>0.2299</v>
      </c>
      <c r="E10" s="26" t="n">
        <v>75</v>
      </c>
      <c r="F10" s="39" t="n">
        <f aca="false">IF(C10="","",IF($C$6="Snowball",COUNTIFS($C$10:$C$19,"&lt;"&amp;C10,$C$10:$C$19,"&lt;&gt;")+1,COUNTIFS($D$10:$D$19,"&gt;"&amp;D10,$C$10:$C$19,"&lt;&gt;")+1))</f>
        <v>1</v>
      </c>
      <c r="G10" s="39" t="n">
        <f aca="false">IF(OR(C10="",E10=""),"",IFERROR(ROUNDUP(NPER(D10/12,-E10,C10),0),"never: raise the minimum"))</f>
        <v>51</v>
      </c>
      <c r="H10" s="22" t="n">
        <f aca="false">IF(OR(C10="",E10="",NOT(ISNUMBER(G10))),"",G10*E10-C10)</f>
        <v>1425</v>
      </c>
    </row>
    <row r="11" customFormat="false" ht="15" hidden="false" customHeight="false" outlineLevel="0" collapsed="false">
      <c r="B11" s="17" t="s">
        <v>159</v>
      </c>
      <c r="C11" s="26" t="n">
        <v>8200</v>
      </c>
      <c r="D11" s="38" t="n">
        <v>0.069</v>
      </c>
      <c r="E11" s="26" t="n">
        <v>210</v>
      </c>
      <c r="F11" s="39" t="n">
        <f aca="false">IF(C11="","",IF($C$6="Snowball",COUNTIFS($C$10:$C$19,"&lt;"&amp;C11,$C$10:$C$19,"&lt;&gt;")+1,COUNTIFS($D$10:$D$19,"&gt;"&amp;D11,$C$10:$C$19,"&lt;&gt;")+1))</f>
        <v>2</v>
      </c>
      <c r="G11" s="39" t="n">
        <f aca="false">IF(OR(C11="",E11=""),"",IFERROR(ROUNDUP(NPER(D11/12,-E11,C11),0),"never: raise the minimum"))</f>
        <v>45</v>
      </c>
      <c r="H11" s="22" t="n">
        <f aca="false">IF(OR(C11="",E11="",NOT(ISNUMBER(G11))),"",G11*E11-C11)</f>
        <v>1250</v>
      </c>
    </row>
    <row r="12" customFormat="false" ht="15" hidden="false" customHeight="false" outlineLevel="0" collapsed="false">
      <c r="B12" s="17" t="s">
        <v>96</v>
      </c>
      <c r="C12" s="26" t="n">
        <v>14500</v>
      </c>
      <c r="D12" s="38" t="n">
        <v>0.055</v>
      </c>
      <c r="E12" s="26" t="n">
        <v>180</v>
      </c>
      <c r="F12" s="39" t="n">
        <f aca="false">IF(C12="","",IF($C$6="Snowball",COUNTIFS($C$10:$C$19,"&lt;"&amp;C12,$C$10:$C$19,"&lt;&gt;")+1,COUNTIFS($D$10:$D$19,"&gt;"&amp;D12,$C$10:$C$19,"&lt;&gt;")+1))</f>
        <v>3</v>
      </c>
      <c r="G12" s="39" t="n">
        <f aca="false">IF(OR(C12="",E12=""),"",IFERROR(ROUNDUP(NPER(D12/12,-E12,C12),0),"never: raise the minimum"))</f>
        <v>101</v>
      </c>
      <c r="H12" s="22" t="n">
        <f aca="false">IF(OR(C12="",E12="",NOT(ISNUMBER(G12))),"",G12*E12-C12)</f>
        <v>3680</v>
      </c>
    </row>
    <row r="13" customFormat="false" ht="15" hidden="false" customHeight="false" outlineLevel="0" collapsed="false">
      <c r="B13" s="17"/>
      <c r="C13" s="26"/>
      <c r="D13" s="38"/>
      <c r="E13" s="26"/>
      <c r="F13" s="39" t="str">
        <f aca="false">IF(C13="","",IF($C$6="Snowball",COUNTIFS($C$10:$C$19,"&lt;"&amp;C13,$C$10:$C$19,"&lt;&gt;")+1,COUNTIFS($D$10:$D$19,"&gt;"&amp;D13,$C$10:$C$19,"&lt;&gt;")+1))</f>
        <v/>
      </c>
      <c r="G13" s="39" t="str">
        <f aca="false">IF(OR(C13="",E13=""),"",IFERROR(ROUNDUP(NPER(D13/12,-E13,C13),0),"never: raise the minimum"))</f>
        <v/>
      </c>
      <c r="H13" s="22" t="str">
        <f aca="false">IF(OR(C13="",E13="",NOT(ISNUMBER(G13))),"",G13*E13-C13)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row>
    <row r="20" customFormat="false" ht="15" hidden="false" customHeight="false" outlineLevel="0" collapsed="false">
      <c r="B20" s="19" t="s">
        <v>160</v>
      </c>
      <c r="C20" s="23" t="n">
        <f aca="false">SUM(C10:C19)</f>
        <v>25100</v>
      </c>
      <c r="E20" s="23" t="n">
        <f aca="false">SUM(E10:E19)</f>
        <v>465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2"/>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161</v>
      </c>
    </row>
    <row r="3" customFormat="false" ht="15" hidden="false" customHeight="false" outlineLevel="0" collapsed="false">
      <c r="B3" s="2" t="s">
        <v>162</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163</v>
      </c>
      <c r="C6" s="10" t="s">
        <v>164</v>
      </c>
      <c r="D6" s="10" t="s">
        <v>63</v>
      </c>
      <c r="E6" s="10" t="s">
        <v>165</v>
      </c>
      <c r="F6" s="10" t="s">
        <v>166</v>
      </c>
      <c r="G6" s="10" t="s">
        <v>167</v>
      </c>
    </row>
    <row r="7" customFormat="false" ht="15" hidden="false" customHeight="false" outlineLevel="0" collapsed="false">
      <c r="B7" s="17" t="s">
        <v>92</v>
      </c>
      <c r="C7" s="26" t="n">
        <v>5000</v>
      </c>
      <c r="D7" s="26" t="n">
        <v>1200</v>
      </c>
      <c r="E7" s="33" t="n">
        <f aca="false">IF(OR(C7="",C7=0),"",MIN(1,D7/C7))</f>
        <v>0.24</v>
      </c>
      <c r="F7" s="40" t="n">
        <v>46722</v>
      </c>
      <c r="G7" s="22" t="n">
        <f aca="true">IF(OR(C7="",F7=""),"",MAX(0,(C7-D7)/MAX(1,DATEDIF(TODAY(),F7,"m"))))</f>
        <v>292.307692307692</v>
      </c>
    </row>
    <row r="8" customFormat="false" ht="15" hidden="false" customHeight="false" outlineLevel="0" collapsed="false">
      <c r="B8" s="17" t="s">
        <v>168</v>
      </c>
      <c r="C8" s="26" t="n">
        <v>1800</v>
      </c>
      <c r="D8" s="26" t="n">
        <v>450</v>
      </c>
      <c r="E8" s="33" t="n">
        <f aca="false">IF(OR(C8="",C8=0),"",MIN(1,D8/C8))</f>
        <v>0.25</v>
      </c>
      <c r="F8" s="40" t="n">
        <v>46569</v>
      </c>
      <c r="G8" s="22" t="n">
        <f aca="true">IF(OR(C8="",F8=""),"",MAX(0,(C8-D8)/MAX(1,DATEDIF(TODAY(),F8,"m"))))</f>
        <v>168.75</v>
      </c>
    </row>
    <row r="9" customFormat="false" ht="15" hidden="false" customHeight="false" outlineLevel="0" collapsed="false">
      <c r="B9" s="17" t="s">
        <v>169</v>
      </c>
      <c r="C9" s="26" t="n">
        <v>1200</v>
      </c>
      <c r="D9" s="26" t="n">
        <v>300</v>
      </c>
      <c r="E9" s="33" t="n">
        <f aca="false">IF(OR(C9="",C9=0),"",MIN(1,D9/C9))</f>
        <v>0.25</v>
      </c>
      <c r="F9" s="40" t="n">
        <v>46631</v>
      </c>
      <c r="G9" s="22" t="n">
        <f aca="true">IF(OR(C9="",F9=""),"",MAX(0,(C9-D9)/MAX(1,DATEDIF(TODAY(),F9,"m"))))</f>
        <v>90</v>
      </c>
    </row>
    <row r="10" customFormat="false" ht="15" hidden="false" customHeight="false" outlineLevel="0" collapsed="false">
      <c r="B10" s="17"/>
      <c r="C10" s="26"/>
      <c r="D10" s="26"/>
      <c r="E10" s="33" t="str">
        <f aca="false">IF(OR(C10="",C10=0),"",MIN(1,D10/C10))</f>
        <v/>
      </c>
      <c r="F10" s="40"/>
      <c r="G10" s="22" t="str">
        <f aca="true">IF(OR(C10="",F10=""),"",MAX(0,(C10-D10)/MAX(1,DATEDIF(TODAY(),F10,"m"))))</f>
        <v/>
      </c>
    </row>
    <row r="11" customFormat="false" ht="15" hidden="false" customHeight="false" outlineLevel="0" collapsed="false">
      <c r="B11" s="17"/>
      <c r="C11" s="26"/>
      <c r="D11" s="26"/>
      <c r="E11" s="33" t="str">
        <f aca="false">IF(OR(C11="",C11=0),"",MIN(1,D11/C11))</f>
        <v/>
      </c>
      <c r="F11" s="40"/>
      <c r="G11" s="22" t="str">
        <f aca="true">IF(OR(C11="",F11=""),"",MAX(0,(C11-D11)/MAX(1,DATEDIF(TODAY(),F11,"m"))))</f>
        <v/>
      </c>
    </row>
    <row r="12" customFormat="false" ht="15" hidden="false" customHeight="false" outlineLevel="0" collapsed="false">
      <c r="B12" s="17"/>
      <c r="C12" s="26"/>
      <c r="D12" s="26"/>
      <c r="E12" s="33" t="str">
        <f aca="false">IF(OR(C12="",C12=0),"",MIN(1,D12/C12))</f>
        <v/>
      </c>
      <c r="F12" s="40"/>
      <c r="G12" s="22" t="str">
        <f aca="true">IF(OR(C12="",F12=""),"",MAX(0,(C12-D12)/MAX(1,DATEDIF(TODAY(),F12,"m"))))</f>
        <v/>
      </c>
    </row>
    <row r="13" customFormat="false" ht="15" hidden="false" customHeight="false" outlineLevel="0" collapsed="false">
      <c r="B13" s="17"/>
      <c r="C13" s="26"/>
      <c r="D13" s="26"/>
      <c r="E13" s="33" t="str">
        <f aca="false">IF(OR(C13="",C13=0),"",MIN(1,D13/C13))</f>
        <v/>
      </c>
      <c r="F13" s="40"/>
      <c r="G13" s="22" t="str">
        <f aca="true">IF(OR(C13="",F13=""),"",MAX(0,(C13-D13)/MAX(1,DATEDIF(TODAY(),F13,"m"))))</f>
        <v/>
      </c>
    </row>
    <row r="14" customFormat="false" ht="15" hidden="false" customHeight="false" outlineLevel="0" collapsed="false">
      <c r="B14" s="17"/>
      <c r="C14" s="26"/>
      <c r="D14" s="26"/>
      <c r="E14" s="33" t="str">
        <f aca="false">IF(OR(C14="",C14=0),"",MIN(1,D14/C14))</f>
        <v/>
      </c>
      <c r="F14" s="40"/>
      <c r="G14" s="22" t="str">
        <f aca="true">IF(OR(C14="",F14=""),"",MAX(0,(C14-D14)/MAX(1,DATEDIF(TODAY(),F14,"m"))))</f>
        <v/>
      </c>
    </row>
    <row r="15" customFormat="false" ht="15" hidden="false" customHeight="false" outlineLevel="0" collapsed="false">
      <c r="B15" s="17"/>
      <c r="C15" s="26"/>
      <c r="D15" s="26"/>
      <c r="E15" s="33" t="str">
        <f aca="false">IF(OR(C15="",C15=0),"",MIN(1,D15/C15))</f>
        <v/>
      </c>
      <c r="F15" s="40"/>
      <c r="G15" s="22" t="str">
        <f aca="true">IF(OR(C15="",F15=""),"",MAX(0,(C15-D15)/MAX(1,DATEDIF(TODAY(),F15,"m"))))</f>
        <v/>
      </c>
    </row>
    <row r="16" customFormat="false" ht="15" hidden="false" customHeight="false" outlineLevel="0" collapsed="false">
      <c r="B16" s="17"/>
      <c r="C16" s="26"/>
      <c r="D16" s="26"/>
      <c r="E16" s="33" t="str">
        <f aca="false">IF(OR(C16="",C16=0),"",MIN(1,D16/C16))</f>
        <v/>
      </c>
      <c r="F16" s="40"/>
      <c r="G16" s="22" t="str">
        <f aca="true">IF(OR(C16="",F16=""),"",MAX(0,(C16-D16)/MAX(1,DATEDIF(TODAY(),F16,"m"))))</f>
        <v/>
      </c>
    </row>
  </sheetData>
  <sheetProtection sheet="true" formatColumns="false" formatRows="false" insertRows="false" sort="false" autoFilter="false"/>
  <conditionalFormatting sqref="E7:E16">
    <cfRule type="dataBar" priority="2">
      <dataBar showValue="1" minLength="10" maxLength="90">
        <cfvo type="num" val="0"/>
        <cfvo type="num" val="1"/>
        <color rgb="FF2F6F5E"/>
      </dataBar>
      <extLst>
        <ext xmlns:x14="http://schemas.microsoft.com/office/spreadsheetml/2009/9/main" uri="{B025F937-C7B1-47D3-B67F-A62EFF666E3E}">
          <x14:id>{C39A6DE7-83A0-48D5-B57E-CC933EB7C91B}</x14:id>
        </ext>
      </extLst>
    </cfRule>
  </conditionalFormatting>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39A6DE7-83A0-48D5-B57E-CC933EB7C91B}">
            <x14:dataBar minLength="10" maxLength="90" axisPosition="none" gradient="true">
              <x14:cfvo type="num">
                <xm:f>0</xm:f>
              </x14:cfvo>
              <x14:cfvo type="num">
                <xm:f>1</xm:f>
              </x14:cfvo>
              <x14:negativeFillColor rgb="FF2F6F5E"/>
              <x14:axisColor rgb="FF000000"/>
            </x14:dataBar>
          </x14:cfRule>
          <xm:sqref>E7:E16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2026-10-22T07:39:59Z</dcterms:created>
  <dc:creator>openpyxl</dc:creator>
  <dc:description/>
  <dc:language>en-US</dc:language>
  <cp:lastModifiedBy/>
  <dcterms:modified xsi:type="dcterms:W3CDTF">2026-10-22T07:40:00Z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