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2.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0.xml.rels" ContentType="application/vnd.openxmlformats-package.relationships+xml"/>
  <Override PartName="/xl/worksheets/_rels/sheet9.xml.rels" ContentType="application/vnd.openxmlformats-package.relationships+xml"/>
  <Override PartName="/xl/worksheets/_rels/sheet15.xml.rels" ContentType="application/vnd.openxmlformats-package.relationships+xml"/>
  <Override PartName="/xl/worksheets/_rels/sheet14.xml.rels" ContentType="application/vnd.openxmlformats-package.relationships+xml"/>
  <Override PartName="/xl/worksheets/_rels/sheet19.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Start here" sheetId="1" state="visible" r:id="rId3"/>
    <sheet name="Dashboard" sheetId="2" state="visible" r:id="rId4"/>
    <sheet name="Setup" sheetId="3" state="visible" r:id="rId5"/>
    <sheet name="January" sheetId="4" state="visible" r:id="rId6"/>
    <sheet name="February" sheetId="5" state="visible" r:id="rId7"/>
    <sheet name="March" sheetId="6" state="visible" r:id="rId8"/>
    <sheet name="April" sheetId="7" state="visible" r:id="rId9"/>
    <sheet name="May" sheetId="8" state="visible" r:id="rId10"/>
    <sheet name="June" sheetId="9" state="visible" r:id="rId11"/>
    <sheet name="July" sheetId="10" state="visible" r:id="rId12"/>
    <sheet name="August" sheetId="11" state="visible" r:id="rId13"/>
    <sheet name="September" sheetId="12" state="visible" r:id="rId14"/>
    <sheet name="October" sheetId="13" state="visible" r:id="rId15"/>
    <sheet name="November" sheetId="14" state="visible" r:id="rId16"/>
    <sheet name="December" sheetId="15" state="visible" r:id="rId17"/>
    <sheet name="Bills" sheetId="16" state="visible" r:id="rId18"/>
    <sheet name="Paycheck plan" sheetId="17" state="visible" r:id="rId19"/>
    <sheet name="Debt payoff" sheetId="18" state="visible" r:id="rId20"/>
    <sheet name="Savings goals" sheetId="19" state="visible" r:id="rId21"/>
  </sheets>
  <definedNames>
    <definedName function="false" hidden="false" name="Categories" vbProcedure="false">Setup!$E$10:$E$39</definedName>
    <definedName function="false" hidden="false" name="Year" vbProcedure="false">Setup!$C$6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<sst xmlns="http://schemas.openxmlformats.org/spreadsheetml/2006/main" count="578" uniqueCount="171">
  <si>
    <t xml:space="preserve">Clear Budget</t>
  </si>
  <si>
    <t xml:space="preserve">Monthly budget, paycheck plan, bills, debt and savings for Google Sheets and Excel</t>
  </si>
  <si>
    <t xml:space="preserve">Start here</t>
  </si>
  <si>
    <t xml:space="preserve">Dashboard</t>
  </si>
  <si>
    <t xml:space="preserve">Setup</t>
  </si>
  <si>
    <t xml:space="preserve">Months</t>
  </si>
  <si>
    <t xml:space="preserve">Bills</t>
  </si>
  <si>
    <t xml:space="preserve">Paycheck</t>
  </si>
  <si>
    <t xml:space="preserve">Debt</t>
  </si>
  <si>
    <t xml:space="preserve">Savings</t>
  </si>
  <si>
    <t xml:space="preserve">Open it in your app</t>
  </si>
  <si>
    <t xml:space="preserve">Google Sheets: on drive.google.com choose New &gt; File upload, pick the .xlsx, then open it with Google Sheets (File &gt; Save as Google Sheets keeps a Sheets copy). Excel: double-click the file. There is no link to request and no access to wait for.</t>
  </si>
  <si>
    <t xml:space="preserve">January</t>
  </si>
  <si>
    <t xml:space="preserve">Look at January, then clear it</t>
  </si>
  <si>
    <t xml:space="preserve">January holds an example month so you can see the math work. Select the shaded Date to Amount cells in January's log and press Delete. The Ready check below shows Done when it is gone.</t>
  </si>
  <si>
    <t xml:space="preserve">February</t>
  </si>
  <si>
    <t xml:space="preserve">Fill in Setup once</t>
  </si>
  <si>
    <t xml:space="preserve">Type your take-home pay, then name your own categories, pick a group for each and give each a monthly budget. Aim for Left to budget = 0. Change or add categories any time; every tab follows.</t>
  </si>
  <si>
    <t xml:space="preserve">March</t>
  </si>
  <si>
    <t xml:space="preserve">Log spending in this month</t>
  </si>
  <si>
    <t xml:space="preserve">Pick this month in the jump row below. Starting mid-year? Empty months stay out of your totals. Starting before January? Set the Year in Setup to 2026 for November and December, then download a fresh copy from your Etsy Purchases for 2027.</t>
  </si>
  <si>
    <t xml:space="preserve">April</t>
  </si>
  <si>
    <t xml:space="preserve">Check your Dashboard</t>
  </si>
  <si>
    <t xml:space="preserve">See the year by month and where the money went. Bills, Paycheck plan, Debt and Savings are extras: use them when you want them, skip them if you do not.</t>
  </si>
  <si>
    <t xml:space="preserve">May</t>
  </si>
  <si>
    <t xml:space="preserve">June</t>
  </si>
  <si>
    <t xml:space="preserve">Ready check</t>
  </si>
  <si>
    <t xml:space="preserve">Updates as you type.</t>
  </si>
  <si>
    <t xml:space="preserve">July</t>
  </si>
  <si>
    <t xml:space="preserve">Check</t>
  </si>
  <si>
    <t xml:space="preserve">Status</t>
  </si>
  <si>
    <t xml:space="preserve">What to do</t>
  </si>
  <si>
    <t xml:space="preserve">August</t>
  </si>
  <si>
    <t xml:space="preserve">Income entered</t>
  </si>
  <si>
    <t xml:space="preserve">September</t>
  </si>
  <si>
    <t xml:space="preserve">Every dollar has a job</t>
  </si>
  <si>
    <t xml:space="preserve">October</t>
  </si>
  <si>
    <t xml:space="preserve">Every category has a group</t>
  </si>
  <si>
    <t xml:space="preserve">November</t>
  </si>
  <si>
    <t xml:space="preserve">Spending matches your categories</t>
  </si>
  <si>
    <t xml:space="preserve">December</t>
  </si>
  <si>
    <t xml:space="preserve">No amounts without a category</t>
  </si>
  <si>
    <t xml:space="preserve">Example cleared</t>
  </si>
  <si>
    <t xml:space="preserve">Your split (info, not pass or fail)</t>
  </si>
  <si>
    <t xml:space="preserve">Info</t>
  </si>
  <si>
    <t xml:space="preserve">Jump to a month</t>
  </si>
  <si>
    <t xml:space="preserve">If something looks wrong</t>
  </si>
  <si>
    <t xml:space="preserve">A month total looks too low: check the Ready check for amounts without a category or with a category not in Setup.</t>
  </si>
  <si>
    <t xml:space="preserve">A category is missing from the dropdown: add it in Setup (any empty row); it appears in every month.</t>
  </si>
  <si>
    <t xml:space="preserve">I typed over a formula: Edit &gt; Undo, or File &gt; Version history in Google Sheets.</t>
  </si>
  <si>
    <t xml:space="preserve">Amounts show $ but I use another currency: unprotect the tab (no password) and change the number format.</t>
  </si>
  <si>
    <t xml:space="preserve">Colour key</t>
  </si>
  <si>
    <t xml:space="preserve">Type here</t>
  </si>
  <si>
    <t xml:space="preserve">Shaded cells are yours to fill in.</t>
  </si>
  <si>
    <t xml:space="preserve">Calculated</t>
  </si>
  <si>
    <t xml:space="preserve">Plain cells hold formulas.</t>
  </si>
  <si>
    <t xml:space="preserve">Tip</t>
  </si>
  <si>
    <t xml:space="preserve">Shaded cells are for typing. Plain cells hold formulas. In Excel they are locked; to change one use Review &gt; Unprotect Sheet (there is no password). In Google Sheets, if you type over a formula, Edit &gt; Undo or File &gt; Version history brings it back.</t>
  </si>
  <si>
    <t xml:space="preserve">Your year at a glance. Nothing to type here.</t>
  </si>
  <si>
    <t xml:space="preserve">Month</t>
  </si>
  <si>
    <t xml:space="preserve">Income</t>
  </si>
  <si>
    <t xml:space="preserve">Spent</t>
  </si>
  <si>
    <t xml:space="preserve">Left over</t>
  </si>
  <si>
    <t xml:space="preserve">Saved</t>
  </si>
  <si>
    <t xml:space="preserve">Category</t>
  </si>
  <si>
    <t xml:space="preserve">Spent this year</t>
  </si>
  <si>
    <t xml:space="preserve">Year</t>
  </si>
  <si>
    <t xml:space="preserve">Savings rate</t>
  </si>
  <si>
    <t xml:space="preserve">Group</t>
  </si>
  <si>
    <t xml:space="preserve">Needs</t>
  </si>
  <si>
    <t xml:space="preserve">Wants</t>
  </si>
  <si>
    <t xml:space="preserve">Fill this in once. Every other tab updates from here.</t>
  </si>
  <si>
    <t xml:space="preserve">Currency</t>
  </si>
  <si>
    <t xml:space="preserve">$</t>
  </si>
  <si>
    <t xml:space="preserve">Income source</t>
  </si>
  <si>
    <t xml:space="preserve">Monthly amount</t>
  </si>
  <si>
    <t xml:space="preserve">Monthly budget</t>
  </si>
  <si>
    <t xml:space="preserve">Rent or mortgage</t>
  </si>
  <si>
    <t xml:space="preserve">Side income</t>
  </si>
  <si>
    <t xml:space="preserve">Utilities</t>
  </si>
  <si>
    <t xml:space="preserve">Groceries</t>
  </si>
  <si>
    <t xml:space="preserve">Transport</t>
  </si>
  <si>
    <t xml:space="preserve">Insurance</t>
  </si>
  <si>
    <t xml:space="preserve">Phone and internet</t>
  </si>
  <si>
    <t xml:space="preserve">Medical</t>
  </si>
  <si>
    <t xml:space="preserve">Eating out</t>
  </si>
  <si>
    <t xml:space="preserve">Expected income</t>
  </si>
  <si>
    <t xml:space="preserve">Shopping</t>
  </si>
  <si>
    <t xml:space="preserve">Subscriptions</t>
  </si>
  <si>
    <t xml:space="preserve">Fun</t>
  </si>
  <si>
    <t xml:space="preserve">Gifts</t>
  </si>
  <si>
    <t xml:space="preserve">Personal care</t>
  </si>
  <si>
    <t xml:space="preserve">Emergency fund</t>
  </si>
  <si>
    <t xml:space="preserve">Sinking funds</t>
  </si>
  <si>
    <t xml:space="preserve">Retirement</t>
  </si>
  <si>
    <t xml:space="preserve">Credit card</t>
  </si>
  <si>
    <t xml:space="preserve">Student loan</t>
  </si>
  <si>
    <t xml:space="preserve">Total budget</t>
  </si>
  <si>
    <t xml:space="preserve">Left to budget</t>
  </si>
  <si>
    <t xml:space="preserve">Log what you spend. The summary on the right updates itself.</t>
  </si>
  <si>
    <t xml:space="preserve">Date</t>
  </si>
  <si>
    <t xml:space="preserve">What</t>
  </si>
  <si>
    <t xml:space="preserve">Amount</t>
  </si>
  <si>
    <t xml:space="preserve">Income this month</t>
  </si>
  <si>
    <t xml:space="preserve">Type over this if your income was different</t>
  </si>
  <si>
    <t xml:space="preserve">Rent</t>
  </si>
  <si>
    <t xml:space="preserve">Weekly shop</t>
  </si>
  <si>
    <t xml:space="preserve">Bus pass</t>
  </si>
  <si>
    <t xml:space="preserve">Saved and debt paid</t>
  </si>
  <si>
    <t xml:space="preserve">Pizza night</t>
  </si>
  <si>
    <t xml:space="preserve">Budget</t>
  </si>
  <si>
    <t xml:space="preserve">Left</t>
  </si>
  <si>
    <t xml:space="preserve">Used</t>
  </si>
  <si>
    <t xml:space="preserve">Phone bill</t>
  </si>
  <si>
    <t xml:space="preserve">To emergency fund</t>
  </si>
  <si>
    <t xml:space="preserve">Streaming</t>
  </si>
  <si>
    <t xml:space="preserve">Card payment</t>
  </si>
  <si>
    <t xml:space="preserve">Concert tickets</t>
  </si>
  <si>
    <t xml:space="preserve">Shoes</t>
  </si>
  <si>
    <t xml:space="preserve">Mark each bill paid with a ✓ from the dropdown.</t>
  </si>
  <si>
    <t xml:space="preserve">Bill</t>
  </si>
  <si>
    <t xml:space="preserve">Due day</t>
  </si>
  <si>
    <t xml:space="preserve">Autopay</t>
  </si>
  <si>
    <t xml:space="preserve">Jan</t>
  </si>
  <si>
    <t xml:space="preserve">Feb</t>
  </si>
  <si>
    <t xml:space="preserve">Mar</t>
  </si>
  <si>
    <t xml:space="preserve">Apr</t>
  </si>
  <si>
    <t xml:space="preserve">Jun</t>
  </si>
  <si>
    <t xml:space="preserve">Jul</t>
  </si>
  <si>
    <t xml:space="preserve">Aug</t>
  </si>
  <si>
    <t xml:space="preserve">Sep</t>
  </si>
  <si>
    <t xml:space="preserve">Oct</t>
  </si>
  <si>
    <t xml:space="preserve">Nov</t>
  </si>
  <si>
    <t xml:space="preserve">Dec</t>
  </si>
  <si>
    <t xml:space="preserve">Yes</t>
  </si>
  <si>
    <t xml:space="preserve">Car insurance</t>
  </si>
  <si>
    <t xml:space="preserve">No</t>
  </si>
  <si>
    <t xml:space="preserve">Electric</t>
  </si>
  <si>
    <t xml:space="preserve">Total per month</t>
  </si>
  <si>
    <t xml:space="preserve">Paycheck plan</t>
  </si>
  <si>
    <t xml:space="preserve">Paid weekly or every two weeks? See which bills each paycheck covers. Paid monthly? Skip this tab.</t>
  </si>
  <si>
    <t xml:space="preserve">Next payday</t>
  </si>
  <si>
    <t xml:space="preserve">How often</t>
  </si>
  <si>
    <t xml:space="preserve">Every 2 weeks</t>
  </si>
  <si>
    <t xml:space="preserve">Usual paycheck</t>
  </si>
  <si>
    <t xml:space="preserve">Starts from your first income line in Setup. Type your real take-home pay.</t>
  </si>
  <si>
    <t xml:space="preserve">Payday</t>
  </si>
  <si>
    <t xml:space="preserve">Bills due before next payday</t>
  </si>
  <si>
    <t xml:space="preserve">Left from this paycheck</t>
  </si>
  <si>
    <t xml:space="preserve">Debt payoff</t>
  </si>
  <si>
    <t xml:space="preserve">List your debts. The order and timelines update as you pay.</t>
  </si>
  <si>
    <t xml:space="preserve">Method</t>
  </si>
  <si>
    <t xml:space="preserve">Snowball</t>
  </si>
  <si>
    <t xml:space="preserve">Extra each month</t>
  </si>
  <si>
    <t xml:space="preserve">Balance</t>
  </si>
  <si>
    <t xml:space="preserve">Rate (APR)</t>
  </si>
  <si>
    <t xml:space="preserve">Minimum</t>
  </si>
  <si>
    <t xml:space="preserve">Pay order</t>
  </si>
  <si>
    <t xml:space="preserve">Months at minimum</t>
  </si>
  <si>
    <t xml:space="preserve">Interest at minimum</t>
  </si>
  <si>
    <t xml:space="preserve">Car loan</t>
  </si>
  <si>
    <t xml:space="preserve">Total</t>
  </si>
  <si>
    <t xml:space="preserve">Savings goals</t>
  </si>
  <si>
    <t xml:space="preserve">One line per goal. The bar fills as you save.</t>
  </si>
  <si>
    <t xml:space="preserve">Goal</t>
  </si>
  <si>
    <t xml:space="preserve">Target</t>
  </si>
  <si>
    <t xml:space="preserve">Progress</t>
  </si>
  <si>
    <t xml:space="preserve">Target date</t>
  </si>
  <si>
    <t xml:space="preserve">Save per month</t>
  </si>
  <si>
    <t xml:space="preserve">Holiday trip</t>
  </si>
  <si>
    <t xml:space="preserve">New laptop</t>
  </si>
</sst>
</file>

<file path=xl/styles.xml><?xml version="1.0" encoding="utf-8"?>
<styleSheet xmlns="http://schemas.openxmlformats.org/spreadsheetml/2006/main">
  <numFmts count="9">
    <numFmt numFmtId="164" formatCode="General"/>
    <numFmt numFmtId="165" formatCode="\$#,##0.00;[RED]&quot;-$&quot;#,##0.00;\$0.00"/>
    <numFmt numFmtId="166" formatCode="0%"/>
    <numFmt numFmtId="167" formatCode="0"/>
    <numFmt numFmtId="168" formatCode="mmm\ d"/>
    <numFmt numFmtId="169" formatCode="mmm\ d&quot;, &quot;yyyy"/>
    <numFmt numFmtId="170" formatCode="ddd\ mmm\ d"/>
    <numFmt numFmtId="171" formatCode="0.0%"/>
    <numFmt numFmtId="172" formatCode="mmm\ yyyy"/>
  </numFmts>
  <fonts count="21">
    <font>
      <sz val="11"/>
      <color theme="1"/>
      <name val="Calibri"/>
      <family val="2"/>
      <charset val="1"/>
    </font>
    <font>
      <sz val="10"/>
      <name val="Arial"/>
      <family val="0"/>
    </font>
    <font>
      <sz val="10"/>
      <name val="Arial"/>
      <family val="0"/>
    </font>
    <font>
      <sz val="10"/>
      <name val="Arial"/>
      <family val="0"/>
    </font>
    <font>
      <b val="true"/>
      <sz val="22"/>
      <color rgb="FF1F2A44"/>
      <name val="Arial"/>
      <family val="0"/>
      <charset val="1"/>
    </font>
    <font>
      <sz val="11"/>
      <color rgb="FF5E6B78"/>
      <name val="Arial"/>
      <family val="0"/>
      <charset val="1"/>
    </font>
    <font>
      <b val="true"/>
      <sz val="9"/>
      <color rgb="FF2F6F5E"/>
      <name val="Arial"/>
      <family val="0"/>
      <charset val="1"/>
    </font>
    <font>
      <b val="true"/>
      <sz val="14"/>
      <color rgb="FFFFFFFF"/>
      <name val="Arial"/>
      <family val="0"/>
      <charset val="1"/>
    </font>
    <font>
      <b val="true"/>
      <sz val="12"/>
      <color rgb="FF1F2A44"/>
      <name val="Arial"/>
      <family val="0"/>
      <charset val="1"/>
    </font>
    <font>
      <sz val="10"/>
      <color rgb="FF5E6B78"/>
      <name val="Arial"/>
      <family val="0"/>
      <charset val="1"/>
    </font>
    <font>
      <b val="true"/>
      <sz val="14"/>
      <color rgb="FF1F2A44"/>
      <name val="Arial"/>
      <family val="0"/>
      <charset val="1"/>
    </font>
    <font>
      <i val="true"/>
      <sz val="10"/>
      <color rgb="FF5E6B78"/>
      <name val="Arial"/>
      <family val="0"/>
      <charset val="1"/>
    </font>
    <font>
      <b val="true"/>
      <sz val="10"/>
      <color rgb="FFFFFFFF"/>
      <name val="Arial"/>
      <family val="0"/>
      <charset val="1"/>
    </font>
    <font>
      <sz val="11"/>
      <color rgb="FF1F2A44"/>
      <name val="Arial"/>
      <family val="0"/>
      <charset val="1"/>
    </font>
    <font>
      <b val="true"/>
      <sz val="11"/>
      <color rgb="FF1F2A44"/>
      <name val="Arial"/>
      <family val="0"/>
      <charset val="1"/>
    </font>
    <font>
      <sz val="10"/>
      <color rgb="FF1F2A44"/>
      <name val="Arial"/>
      <family val="0"/>
      <charset val="1"/>
    </font>
    <font>
      <b val="true"/>
      <sz val="11"/>
      <color rgb="FF2F6F5E"/>
      <name val="Arial"/>
      <family val="0"/>
      <charset val="1"/>
    </font>
    <font>
      <sz val="11"/>
      <color rgb="FF2F6F5E"/>
      <name val="Arial"/>
      <family val="0"/>
      <charset val="1"/>
    </font>
    <font>
      <b val="true"/>
      <sz val="18"/>
      <color rgb="FF000000"/>
      <name val="Calibri"/>
      <family val="2"/>
    </font>
    <font>
      <sz val="10"/>
      <color rgb="FF000000"/>
      <name val="Calibri"/>
      <family val="2"/>
    </font>
    <font>
      <i val="true"/>
      <sz val="9"/>
      <color rgb="FF5E6B78"/>
      <name val="Arial"/>
      <family val="0"/>
      <charset val="1"/>
    </font>
  </fonts>
  <fills count="6">
    <fill>
      <patternFill patternType="none"/>
    </fill>
    <fill>
      <patternFill patternType="gray125"/>
    </fill>
    <fill>
      <patternFill patternType="solid">
        <fgColor rgb="FF2F6F5E"/>
        <bgColor rgb="FF5E6B78"/>
      </patternFill>
    </fill>
    <fill>
      <patternFill patternType="solid">
        <fgColor rgb="FF1F2A44"/>
        <bgColor rgb="FF003366"/>
      </patternFill>
    </fill>
    <fill>
      <patternFill patternType="solid">
        <fgColor rgb="FFE3EFE8"/>
        <bgColor rgb="FFD9D9D9"/>
      </patternFill>
    </fill>
    <fill>
      <patternFill patternType="solid">
        <fgColor rgb="FFFFFFFF"/>
        <bgColor rgb="FFFFFFCC"/>
      </patternFill>
    </fill>
  </fills>
  <borders count="2">
    <border diagonalUp="false" diagonalDown="false">
      <left/>
      <right/>
      <top/>
      <bottom/>
      <diagonal/>
    </border>
    <border diagonalUp="false" diagonalDown="false">
      <left/>
      <right/>
      <top/>
      <bottom style="thin">
        <color rgb="FF5E6B7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true" applyAlignment="true" applyProtection="false">
      <alignment horizontal="general"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center"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center" vertical="bottom" textRotation="0" wrapText="false" indent="0" shrinkToFit="false"/>
      <protection locked="true" hidden="false"/>
    </xf>
    <xf numFmtId="164" fontId="15" fillId="0" borderId="0" xfId="0" applyFont="true" applyBorder="false" applyAlignment="true" applyProtection="false">
      <alignment horizontal="general"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center" textRotation="0" wrapText="true" indent="0" shrinkToFit="false"/>
      <protection locked="true" hidden="false"/>
    </xf>
    <xf numFmtId="164" fontId="13" fillId="4" borderId="1" xfId="0" applyFont="true" applyBorder="true" applyAlignment="false" applyProtection="true">
      <alignment horizontal="general" vertical="bottom" textRotation="0" wrapText="false" indent="0" shrinkToFit="false"/>
      <protection locked="fals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7" fontId="13" fillId="4" borderId="1" xfId="0" applyFont="true" applyBorder="true" applyAlignment="false" applyProtection="true">
      <alignment horizontal="general" vertical="bottom" textRotation="0" wrapText="false" indent="0" shrinkToFit="false"/>
      <protection locked="false" hidden="false"/>
    </xf>
    <xf numFmtId="165" fontId="13" fillId="4" borderId="1" xfId="0" applyFont="true" applyBorder="true" applyAlignment="false" applyProtection="true">
      <alignment horizontal="general" vertical="bottom" textRotation="0" wrapText="false" indent="0" shrinkToFit="false"/>
      <protection locked="fals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5" fontId="8" fillId="4" borderId="1" xfId="0" applyFont="true" applyBorder="true" applyAlignment="false" applyProtection="true">
      <alignment horizontal="general" vertical="bottom" textRotation="0" wrapText="false" indent="0" shrinkToFit="false"/>
      <protection locked="fals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8" fontId="13" fillId="4" borderId="1" xfId="0" applyFont="true" applyBorder="true" applyAlignment="false" applyProtection="true">
      <alignment horizontal="general" vertical="bottom" textRotation="0" wrapText="false" indent="0" shrinkToFit="false"/>
      <protection locked="fals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4" fontId="13" fillId="4" borderId="1" xfId="0" applyFont="true" applyBorder="true" applyAlignment="true" applyProtection="true">
      <alignment horizontal="center" vertical="bottom" textRotation="0" wrapText="false" indent="0" shrinkToFit="false"/>
      <protection locked="false" hidden="false"/>
    </xf>
    <xf numFmtId="169" fontId="13" fillId="4" borderId="1" xfId="0" applyFont="true" applyBorder="true" applyAlignment="false" applyProtection="true">
      <alignment horizontal="general" vertical="bottom" textRotation="0" wrapText="false" indent="0" shrinkToFit="false"/>
      <protection locked="false" hidden="false"/>
    </xf>
    <xf numFmtId="170" fontId="13" fillId="0" borderId="0" xfId="0" applyFont="true" applyBorder="false" applyAlignment="false" applyProtection="false">
      <alignment horizontal="general" vertical="bottom" textRotation="0" wrapText="false" indent="0" shrinkToFit="false"/>
      <protection locked="true" hidden="false"/>
    </xf>
    <xf numFmtId="168" fontId="13" fillId="0" borderId="0" xfId="0" applyFont="true" applyBorder="false" applyAlignment="false" applyProtection="false">
      <alignment horizontal="general" vertical="bottom" textRotation="0" wrapText="false" indent="0" shrinkToFit="false"/>
      <protection locked="true" hidden="false"/>
    </xf>
    <xf numFmtId="171" fontId="13" fillId="4" borderId="1" xfId="0" applyFont="true" applyBorder="true" applyAlignment="false" applyProtection="true">
      <alignment horizontal="general" vertical="bottom" textRotation="0" wrapText="false" indent="0" shrinkToFit="false"/>
      <protection locked="fals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72" fontId="13" fillId="4" borderId="1" xfId="0" applyFont="true" applyBorder="true" applyAlignment="false" applyProtection="true">
      <alignment horizontal="general" vertical="bottom" textRotation="0" wrapText="false" indent="0" shrinkToFit="false"/>
      <protection locked="fals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b val="1"/>
        <color rgb="FFFFFFFF"/>
      </font>
      <fill>
        <patternFill>
          <bgColor rgb="FF2F6F5E"/>
        </patternFill>
      </fill>
    </dxf>
    <dxf>
      <font>
        <b val="1"/>
        <color rgb="FFC2410C"/>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F6F5E"/>
      <rgbColor rgb="FFC0C0C0"/>
      <rgbColor rgb="FF878787"/>
      <rgbColor rgb="FF9999FF"/>
      <rgbColor rgb="FF993366"/>
      <rgbColor rgb="FFFFFFCC"/>
      <rgbColor rgb="FFE3EFE8"/>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3CCCC"/>
      <rgbColor rgb="FF99CC00"/>
      <rgbColor rgb="FFFFCC00"/>
      <rgbColor rgb="FFFF9900"/>
      <rgbColor rgb="FFFF6600"/>
      <rgbColor rgb="FF5E6B78"/>
      <rgbColor rgb="FF8FB8A8"/>
      <rgbColor rgb="FF003366"/>
      <rgbColor rgb="FF339966"/>
      <rgbColor rgb="FF003300"/>
      <rgbColor rgb="FF333300"/>
      <rgbColor rgb="FFC2410C"/>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Income and spending by month</a:t>
            </a:r>
          </a:p>
        </c:rich>
      </c:tx>
      <c:overlay val="0"/>
      <c:spPr>
        <a:noFill/>
        <a:ln w="0">
          <a:noFill/>
        </a:ln>
      </c:spPr>
    </c:title>
    <c:autoTitleDeleted val="0"/>
    <c:plotArea>
      <c:barChart>
        <c:barDir val="col"/>
        <c:grouping val="clustered"/>
        <c:varyColors val="0"/>
        <c:ser>
          <c:idx val="0"/>
          <c:order val="0"/>
          <c:tx>
            <c:strRef>
              <c:f>Dashboard!C6</c:f>
              <c:strCache>
                <c:ptCount val="1"/>
                <c:pt idx="0">
                  <c:v>Income</c:v>
                </c:pt>
              </c:strCache>
            </c:strRef>
          </c:tx>
          <c:spPr>
            <a:solidFill>
              <a:srgbClr val="2f6f5e"/>
            </a:solidFill>
            <a:ln w="0">
              <a:solidFill>
                <a:srgbClr val="2f6f5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Dashboard!$B$7:$B$18</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Dashboard!$C$7:$C$18</c:f>
              <c:numCache>
                <c:formatCode>\$#,##0.00;[RED]"-$"#,##0.00;\$0.00</c:formatCode>
                <c:ptCount val="12"/>
                <c:pt idx="0">
                  <c:v>3900</c:v>
                </c:pt>
              </c:numCache>
            </c:numRef>
          </c:val>
        </c:ser>
        <c:ser>
          <c:idx val="1"/>
          <c:order val="1"/>
          <c:tx>
            <c:strRef>
              <c:f>Dashboard!D6</c:f>
              <c:strCache>
                <c:ptCount val="1"/>
                <c:pt idx="0">
                  <c:v>Spent</c:v>
                </c:pt>
              </c:strCache>
            </c:strRef>
          </c:tx>
          <c:spPr>
            <a:solidFill>
              <a:srgbClr val="1f2a44"/>
            </a:solidFill>
            <a:ln w="0">
              <a:solidFill>
                <a:srgbClr val="1f2a4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Dashboard!$B$7:$B$18</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Dashboard!$D$7:$D$18</c:f>
              <c:numCache>
                <c:formatCode>\$#,##0.00;[RED]"-$"#,##0.00;\$0.00</c:formatCode>
                <c:ptCount val="12"/>
                <c:pt idx="0">
                  <c:v>2112.09</c:v>
                </c:pt>
              </c:numCache>
            </c:numRef>
          </c:val>
        </c:ser>
        <c:gapWidth val="150"/>
        <c:overlap val="0"/>
        <c:axId val="88460589"/>
        <c:axId val="3627449"/>
      </c:barChart>
      <c:catAx>
        <c:axId val="8846058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27449"/>
        <c:crosses val="autoZero"/>
        <c:auto val="1"/>
        <c:lblAlgn val="ctr"/>
        <c:lblOffset val="100"/>
        <c:noMultiLvlLbl val="0"/>
      </c:catAx>
      <c:valAx>
        <c:axId val="3627449"/>
        <c:scaling>
          <c:orientation val="minMax"/>
        </c:scaling>
        <c:delete val="0"/>
        <c:axPos val="l"/>
        <c:majorGridlines>
          <c:spPr>
            <a:ln w="9360">
              <a:solidFill>
                <a:srgbClr val="878787"/>
              </a:solidFill>
              <a:round/>
            </a:ln>
          </c:spPr>
        </c:majorGridlines>
        <c:numFmt formatCode="\$#,##0.00;[RED]&quot;-$&quot;#,##0.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46058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Where the money went</a:t>
            </a:r>
          </a:p>
        </c:rich>
      </c:tx>
      <c:overlay val="0"/>
      <c:spPr>
        <a:noFill/>
        <a:ln w="0">
          <a:noFill/>
        </a:ln>
      </c:spPr>
    </c:title>
    <c:autoTitleDeleted val="0"/>
    <c:plotArea>
      <c:pieChart>
        <c:varyColors val="1"/>
        <c:ser>
          <c:idx val="0"/>
          <c:order val="0"/>
          <c:tx>
            <c:strRef>
              <c:f>Dashboard!C23</c:f>
              <c:strCache>
                <c:ptCount val="1"/>
                <c:pt idx="0">
                  <c:v>Spent this year</c:v>
                </c:pt>
              </c:strCache>
            </c:strRef>
          </c:tx>
          <c:spPr>
            <a:solidFill>
              <a:srgbClr val="4f81bd"/>
            </a:solidFill>
            <a:ln w="0">
              <a:noFill/>
            </a:ln>
          </c:spPr>
          <c:explosion val="0"/>
          <c:dPt>
            <c:idx val="0"/>
            <c:spPr>
              <a:solidFill>
                <a:srgbClr val="1f2a44"/>
              </a:solidFill>
              <a:ln w="0">
                <a:noFill/>
              </a:ln>
            </c:spPr>
          </c:dPt>
          <c:dPt>
            <c:idx val="1"/>
            <c:spPr>
              <a:solidFill>
                <a:srgbClr val="2f6f5e"/>
              </a:solidFill>
              <a:ln w="0">
                <a:noFill/>
              </a:ln>
            </c:spPr>
          </c:dPt>
          <c:dPt>
            <c:idx val="2"/>
            <c:spPr>
              <a:solidFill>
                <a:srgbClr val="8fb8a8"/>
              </a:solidFill>
              <a:ln w="0">
                <a:noFill/>
              </a:ln>
            </c:spPr>
          </c:dPt>
          <c:dPt>
            <c:idx val="3"/>
            <c:spPr>
              <a:solidFill>
                <a:srgbClr val="c2410c"/>
              </a:solidFill>
              <a:ln w="0">
                <a:noFill/>
              </a:ln>
            </c:spPr>
          </c:dPt>
          <c:dLbls>
            <c:dLbl>
              <c:idx val="0"/>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1"/>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2"/>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3"/>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showLeaderLines val="0"/>
          </c:dLbls>
          <c:cat>
            <c:strRef>
              <c:f>Dashboard!$B$24:$B$27</c:f>
              <c:strCache>
                <c:ptCount val="4"/>
                <c:pt idx="0">
                  <c:v>Needs</c:v>
                </c:pt>
                <c:pt idx="1">
                  <c:v>Wants</c:v>
                </c:pt>
                <c:pt idx="2">
                  <c:v>Savings</c:v>
                </c:pt>
                <c:pt idx="3">
                  <c:v>Debt</c:v>
                </c:pt>
              </c:strCache>
            </c:strRef>
          </c:cat>
          <c:val>
            <c:numRef>
              <c:f>Dashboard!$C$24:$C$27</c:f>
              <c:numCache>
                <c:formatCode>\$#,##0.00;[RED]"-$"#,##0.00;\$0.00</c:formatCode>
                <c:ptCount val="4"/>
                <c:pt idx="0">
                  <c:v>1523.6</c:v>
                </c:pt>
                <c:pt idx="1">
                  <c:v>238.49</c:v>
                </c:pt>
                <c:pt idx="2">
                  <c:v>200</c:v>
                </c:pt>
                <c:pt idx="3">
                  <c:v>150</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36</xdr:row>
      <xdr:rowOff>0</xdr:rowOff>
    </xdr:from>
    <xdr:to>
      <xdr:col>6</xdr:col>
      <xdr:colOff>825480</xdr:colOff>
      <xdr:row>50</xdr:row>
      <xdr:rowOff>32760</xdr:rowOff>
    </xdr:to>
    <xdr:graphicFrame>
      <xdr:nvGraphicFramePr>
        <xdr:cNvPr id="0" name="Chart 1"/>
        <xdr:cNvGraphicFramePr/>
      </xdr:nvGraphicFramePr>
      <xdr:xfrm>
        <a:off x="211320" y="7267680"/>
        <a:ext cx="575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0</xdr:colOff>
      <xdr:row>21</xdr:row>
      <xdr:rowOff>0</xdr:rowOff>
    </xdr:from>
    <xdr:to>
      <xdr:col>7</xdr:col>
      <xdr:colOff>12600</xdr:colOff>
      <xdr:row>34</xdr:row>
      <xdr:rowOff>137520</xdr:rowOff>
    </xdr:to>
    <xdr:graphicFrame>
      <xdr:nvGraphicFramePr>
        <xdr:cNvPr id="1" name="Chart 2"/>
        <xdr:cNvGraphicFramePr/>
      </xdr:nvGraphicFramePr>
      <xdr:xfrm>
        <a:off x="2185200" y="4324320"/>
        <a:ext cx="395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Relationship Id="rId9" Type="http://schemas.openxmlformats.org/officeDocument/2006/relationships/hyperlink" Target="../files/Clear-Budget.xlsx" TargetMode="External"/><Relationship Id="rId10" Type="http://schemas.openxmlformats.org/officeDocument/2006/relationships/hyperlink" Target="../files/Clear-Budget.xlsx" TargetMode="External"/><Relationship Id="rId11" Type="http://schemas.openxmlformats.org/officeDocument/2006/relationships/hyperlink" Target="../files/Clear-Budget.xlsx" TargetMode="External"/><Relationship Id="rId12" Type="http://schemas.openxmlformats.org/officeDocument/2006/relationships/hyperlink" Target="../files/Clear-Budget.xlsx" TargetMode="External"/><Relationship Id="rId13" Type="http://schemas.openxmlformats.org/officeDocument/2006/relationships/hyperlink" Target="../files/Clear-Budget.xlsx" TargetMode="External"/><Relationship Id="rId14" Type="http://schemas.openxmlformats.org/officeDocument/2006/relationships/hyperlink" Target="../files/Clear-Budget.xlsx" TargetMode="External"/><Relationship Id="rId15" Type="http://schemas.openxmlformats.org/officeDocument/2006/relationships/hyperlink" Target="../files/Clear-Budget.xlsx" TargetMode="External"/><Relationship Id="rId16" Type="http://schemas.openxmlformats.org/officeDocument/2006/relationships/hyperlink" Target="../files/Clear-Budget.xlsx" TargetMode="External"/><Relationship Id="rId17" Type="http://schemas.openxmlformats.org/officeDocument/2006/relationships/hyperlink" Target="../files/Clear-Budget.xlsx" TargetMode="External"/><Relationship Id="rId18" Type="http://schemas.openxmlformats.org/officeDocument/2006/relationships/hyperlink" Target="../files/Clear-Budget.xlsx" TargetMode="External"/><Relationship Id="rId19" Type="http://schemas.openxmlformats.org/officeDocument/2006/relationships/hyperlink" Target="../files/Clear-Budget.xlsx" TargetMode="External"/><Relationship Id="rId20" Type="http://schemas.openxmlformats.org/officeDocument/2006/relationships/hyperlink" Target="../files/Clear-Budget.xlsx" TargetMode="External"/>
</Relationships>
</file>

<file path=xl/worksheets/_rels/sheet2.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Relationship Id="rId9" Type="http://schemas.openxmlformats.org/officeDocument/2006/relationships/hyperlink" Target="../files/Clear-Budget.xlsx" TargetMode="External"/><Relationship Id="rId10" Type="http://schemas.openxmlformats.org/officeDocument/2006/relationships/hyperlink" Target="../files/Clear-Budget.xlsx" TargetMode="External"/><Relationship Id="rId11" Type="http://schemas.openxmlformats.org/officeDocument/2006/relationships/hyperlink" Target="../files/Clear-Budget.xlsx" TargetMode="External"/><Relationship Id="rId12" Type="http://schemas.openxmlformats.org/officeDocument/2006/relationships/hyperlink" Target="../files/Clear-Budget.xlsx" TargetMode="External"/><Relationship Id="rId13" Type="http://schemas.openxmlformats.org/officeDocument/2006/relationships/hyperlink" Target="../files/Clear-Budget.xlsx" TargetMode="External"/><Relationship Id="rId14" Type="http://schemas.openxmlformats.org/officeDocument/2006/relationships/hyperlink" Target="../files/Clear-Budget.xlsx" TargetMode="External"/><Relationship Id="rId15" Type="http://schemas.openxmlformats.org/officeDocument/2006/relationships/hyperlink" Target="../files/Clear-Budget.xlsx" TargetMode="External"/><Relationship Id="rId16" Type="http://schemas.openxmlformats.org/officeDocument/2006/relationships/hyperlink" Target="../files/Clear-Budget.xlsx" TargetMode="External"/><Relationship Id="rId17" Type="http://schemas.openxmlformats.org/officeDocument/2006/relationships/hyperlink" Target="../files/Clear-Budget.xlsx" TargetMode="External"/><Relationship Id="rId18" Type="http://schemas.openxmlformats.org/officeDocument/2006/relationships/hyperlink" Target="../files/Clear-Budget.xlsx" TargetMode="External"/><Relationship Id="rId19" Type="http://schemas.openxmlformats.org/officeDocument/2006/relationships/hyperlink" Target="../files/Clear-Budget.xlsx" TargetMode="External"/><Relationship Id="rId20" Type="http://schemas.openxmlformats.org/officeDocument/2006/relationships/hyperlink" Target="../files/Clear-Budget.xlsx" TargetMode="External"/><Relationship Id="rId2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
</Relationships>
</file>

<file path=xl/worksheets/_rels/sheet4.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
</Relationships>
</file>

<file path=xl/worksheets/_rels/sheet5.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
</Relationships>
</file>

<file path=xl/worksheets/_rels/sheet6.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
</Relationships>
</file>

<file path=xl/worksheets/_rels/sheet7.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
</Relationships>
</file>

<file path=xl/worksheets/_rels/sheet8.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
</Relationships>
</file>

<file path=xl/worksheets/_rels/sheet9.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
</Relationships>
</file>

<file path=xl/worksheets/_rels/sheet10.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
</Relationships>
</file>

<file path=xl/worksheets/_rels/sheet11.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
</Relationships>
</file>

<file path=xl/worksheets/_rels/sheet12.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
</Relationships>
</file>

<file path=xl/worksheets/_rels/sheet13.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
</Relationships>
</file>

<file path=xl/worksheets/_rels/sheet14.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
</Relationships>
</file>

<file path=xl/worksheets/_rels/sheet15.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
</Relationships>
</file>

<file path=xl/worksheets/_rels/sheet16.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
</Relationships>
</file>

<file path=xl/worksheets/_rels/sheet17.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
</Relationships>
</file>

<file path=xl/worksheets/_rels/sheet18.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
</Relationships>
</file>

<file path=xl/worksheets/_rels/sheet19.xml.rels><?xml version="1.0" encoding="UTF-8"?>
<Relationships xmlns="http://schemas.openxmlformats.org/package/2006/relationships"><Relationship Id="rId1" Type="http://schemas.openxmlformats.org/officeDocument/2006/relationships/hyperlink" Target="../files/Clear-Budget.xlsx" TargetMode="External"/><Relationship Id="rId2" Type="http://schemas.openxmlformats.org/officeDocument/2006/relationships/hyperlink" Target="../files/Clear-Budget.xlsx" TargetMode="External"/><Relationship Id="rId3" Type="http://schemas.openxmlformats.org/officeDocument/2006/relationships/hyperlink" Target="../files/Clear-Budget.xlsx" TargetMode="External"/><Relationship Id="rId4" Type="http://schemas.openxmlformats.org/officeDocument/2006/relationships/hyperlink" Target="../files/Clear-Budget.xlsx" TargetMode="External"/><Relationship Id="rId5" Type="http://schemas.openxmlformats.org/officeDocument/2006/relationships/hyperlink" Target="../files/Clear-Budget.xlsx" TargetMode="External"/><Relationship Id="rId6" Type="http://schemas.openxmlformats.org/officeDocument/2006/relationships/hyperlink" Target="../files/Clear-Budget.xlsx" TargetMode="External"/><Relationship Id="rId7" Type="http://schemas.openxmlformats.org/officeDocument/2006/relationships/hyperlink" Target="../files/Clear-Budget.xlsx" TargetMode="External"/><Relationship Id="rId8" Type="http://schemas.openxmlformats.org/officeDocument/2006/relationships/hyperlink" Target="../files/Clear-Budget.xlsx"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W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34"/>
    <col collapsed="false" customWidth="true" hidden="false" outlineLevel="0" max="4" min="4" style="0" width="14"/>
    <col collapsed="false" customWidth="true" hidden="false" outlineLevel="0" max="5" min="5" style="0" width="60"/>
    <col collapsed="false" customWidth="true" hidden="false" outlineLevel="0" max="19" min="6" style="0" width="14"/>
    <col collapsed="false" customWidth="true" hidden="true" outlineLevel="0" max="23" min="20" style="0" width="14"/>
    <col collapsed="false" customWidth="true" hidden="false" outlineLevel="0" max="29" min="24" style="0" width="14"/>
  </cols>
  <sheetData>
    <row r="2" customFormat="false" ht="33.75" hidden="false" customHeight="true" outlineLevel="0" collapsed="false">
      <c r="B2" s="1" t="s">
        <v>0</v>
      </c>
    </row>
    <row r="3" customFormat="false" ht="15" hidden="false" customHeight="false" outlineLevel="0" collapsed="false">
      <c r="B3" s="2" t="s">
        <v>1</v>
      </c>
    </row>
    <row r="4" customFormat="false" ht="15" hidden="false" customHeight="false" outlineLevel="0" collapsed="false">
      <c r="C4" s="3" t="s">
        <v>2</v>
      </c>
      <c r="D4" s="3" t="s">
        <v>3</v>
      </c>
      <c r="E4" s="3" t="s">
        <v>4</v>
      </c>
      <c r="F4" s="3" t="s">
        <v>5</v>
      </c>
      <c r="G4" s="3" t="s">
        <v>6</v>
      </c>
      <c r="H4" s="3" t="s">
        <v>7</v>
      </c>
      <c r="I4" s="3" t="s">
        <v>8</v>
      </c>
      <c r="J4" s="3" t="s">
        <v>9</v>
      </c>
    </row>
    <row r="6" customFormat="false" ht="60" hidden="false" customHeight="true" outlineLevel="0" collapsed="false">
      <c r="B6" s="4" t="n">
        <v>1</v>
      </c>
      <c r="C6" s="5" t="s">
        <v>10</v>
      </c>
      <c r="D6" s="6" t="s">
        <v>11</v>
      </c>
      <c r="E6" s="6"/>
      <c r="T6" s="7" t="s">
        <v>12</v>
      </c>
      <c r="U6" s="7" t="n">
        <f aca="false">SUMPRODUCT((January!$E$7:$E$86&lt;&gt;"")*(January!$D$7:$D$86&lt;&gt;"")*(COUNTIF(Categories,January!$D$7:$D$86)=0))</f>
        <v>0</v>
      </c>
      <c r="V6" s="7" t="n">
        <f aca="false">SUMPRODUCT((January!$E$7:$E$86&lt;&gt;"")*(January!$D$7:$D$86=""))</f>
        <v>0</v>
      </c>
      <c r="W6" s="7" t="n">
        <f aca="false">IF(U6&gt;0,1,0)</f>
        <v>0</v>
      </c>
    </row>
    <row r="7" customFormat="false" ht="45" hidden="false" customHeight="true" outlineLevel="0" collapsed="false">
      <c r="B7" s="4" t="n">
        <v>2</v>
      </c>
      <c r="C7" s="5" t="s">
        <v>13</v>
      </c>
      <c r="D7" s="6" t="s">
        <v>14</v>
      </c>
      <c r="E7" s="6"/>
      <c r="T7" s="7" t="s">
        <v>15</v>
      </c>
      <c r="U7" s="7" t="n">
        <f aca="false">SUMPRODUCT((February!$E$7:$E$86&lt;&gt;"")*(February!$D$7:$D$86&lt;&gt;"")*(COUNTIF(Categories,February!$D$7:$D$86)=0))</f>
        <v>0</v>
      </c>
      <c r="V7" s="7" t="n">
        <f aca="false">SUMPRODUCT((February!$E$7:$E$86&lt;&gt;"")*(February!$D$7:$D$86=""))</f>
        <v>0</v>
      </c>
      <c r="W7" s="7" t="n">
        <f aca="false">IF(U7&gt;0,1,0)</f>
        <v>0</v>
      </c>
    </row>
    <row r="8" customFormat="false" ht="45" hidden="false" customHeight="true" outlineLevel="0" collapsed="false">
      <c r="B8" s="4" t="n">
        <v>3</v>
      </c>
      <c r="C8" s="5" t="s">
        <v>16</v>
      </c>
      <c r="D8" s="6" t="s">
        <v>17</v>
      </c>
      <c r="E8" s="6"/>
      <c r="T8" s="7" t="s">
        <v>18</v>
      </c>
      <c r="U8" s="7" t="n">
        <f aca="false">SUMPRODUCT((March!$E$7:$E$86&lt;&gt;"")*(March!$D$7:$D$86&lt;&gt;"")*(COUNTIF(Categories,March!$D$7:$D$86)=0))</f>
        <v>0</v>
      </c>
      <c r="V8" s="7" t="n">
        <f aca="false">SUMPRODUCT((March!$E$7:$E$86&lt;&gt;"")*(March!$D$7:$D$86=""))</f>
        <v>0</v>
      </c>
      <c r="W8" s="7" t="n">
        <f aca="false">IF(U8&gt;0,1,0)</f>
        <v>0</v>
      </c>
    </row>
    <row r="9" customFormat="false" ht="60" hidden="false" customHeight="true" outlineLevel="0" collapsed="false">
      <c r="B9" s="4" t="n">
        <v>4</v>
      </c>
      <c r="C9" s="5" t="s">
        <v>19</v>
      </c>
      <c r="D9" s="6" t="s">
        <v>20</v>
      </c>
      <c r="E9" s="6"/>
      <c r="T9" s="7" t="s">
        <v>21</v>
      </c>
      <c r="U9" s="7" t="n">
        <f aca="false">SUMPRODUCT((April!$E$7:$E$86&lt;&gt;"")*(April!$D$7:$D$86&lt;&gt;"")*(COUNTIF(Categories,April!$D$7:$D$86)=0))</f>
        <v>0</v>
      </c>
      <c r="V9" s="7" t="n">
        <f aca="false">SUMPRODUCT((April!$E$7:$E$86&lt;&gt;"")*(April!$D$7:$D$86=""))</f>
        <v>0</v>
      </c>
      <c r="W9" s="7" t="n">
        <f aca="false">IF(U9&gt;0,1,0)</f>
        <v>0</v>
      </c>
    </row>
    <row r="10" customFormat="false" ht="45" hidden="false" customHeight="true" outlineLevel="0" collapsed="false">
      <c r="B10" s="4" t="n">
        <v>5</v>
      </c>
      <c r="C10" s="5" t="s">
        <v>22</v>
      </c>
      <c r="D10" s="6" t="s">
        <v>23</v>
      </c>
      <c r="E10" s="6"/>
      <c r="T10" s="7" t="s">
        <v>24</v>
      </c>
      <c r="U10" s="7" t="n">
        <f aca="false">SUMPRODUCT((May!$E$7:$E$86&lt;&gt;"")*(May!$D$7:$D$86&lt;&gt;"")*(COUNTIF(Categories,May!$D$7:$D$86)=0))</f>
        <v>0</v>
      </c>
      <c r="V10" s="7" t="n">
        <f aca="false">SUMPRODUCT((May!$E$7:$E$86&lt;&gt;"")*(May!$D$7:$D$86=""))</f>
        <v>0</v>
      </c>
      <c r="W10" s="7" t="n">
        <f aca="false">IF(U10&gt;0,1,0)</f>
        <v>0</v>
      </c>
    </row>
    <row r="11" customFormat="false" ht="15" hidden="false" customHeight="false" outlineLevel="0" collapsed="false">
      <c r="T11" s="0" t="s">
        <v>25</v>
      </c>
      <c r="U11" s="0" t="n">
        <f aca="false">SUMPRODUCT((June!$E$7:$E$86&lt;&gt;"")*(June!$D$7:$D$86&lt;&gt;"")*(COUNTIF(Categories,June!$D$7:$D$86)=0))</f>
        <v>0</v>
      </c>
      <c r="V11" s="0" t="n">
        <f aca="false">SUMPRODUCT((June!$E$7:$E$86&lt;&gt;"")*(June!$D$7:$D$86=""))</f>
        <v>0</v>
      </c>
      <c r="W11" s="0" t="n">
        <f aca="false">IF(U11&gt;0,1,0)</f>
        <v>0</v>
      </c>
    </row>
    <row r="12" customFormat="false" ht="17.35" hidden="false" customHeight="false" outlineLevel="0" collapsed="false">
      <c r="C12" s="8" t="s">
        <v>26</v>
      </c>
      <c r="E12" s="9" t="s">
        <v>27</v>
      </c>
      <c r="T12" s="7" t="s">
        <v>28</v>
      </c>
      <c r="U12" s="7" t="n">
        <f aca="false">SUMPRODUCT((July!$E$7:$E$86&lt;&gt;"")*(July!$D$7:$D$86&lt;&gt;"")*(COUNTIF(Categories,July!$D$7:$D$86)=0))</f>
        <v>0</v>
      </c>
      <c r="V12" s="7" t="n">
        <f aca="false">SUMPRODUCT((July!$E$7:$E$86&lt;&gt;"")*(July!$D$7:$D$86=""))</f>
        <v>0</v>
      </c>
      <c r="W12" s="7" t="n">
        <f aca="false">IF(U12&gt;0,1,0)</f>
        <v>0</v>
      </c>
    </row>
    <row r="13" customFormat="false" ht="21.75" hidden="false" customHeight="true" outlineLevel="0" collapsed="false">
      <c r="C13" s="10" t="s">
        <v>29</v>
      </c>
      <c r="D13" s="10" t="s">
        <v>30</v>
      </c>
      <c r="E13" s="10" t="s">
        <v>31</v>
      </c>
      <c r="T13" s="7" t="s">
        <v>32</v>
      </c>
      <c r="U13" s="7" t="n">
        <f aca="false">SUMPRODUCT((August!$E$7:$E$86&lt;&gt;"")*(August!$D$7:$D$86&lt;&gt;"")*(COUNTIF(Categories,August!$D$7:$D$86)=0))</f>
        <v>0</v>
      </c>
      <c r="V13" s="7" t="n">
        <f aca="false">SUMPRODUCT((August!$E$7:$E$86&lt;&gt;"")*(August!$D$7:$D$86=""))</f>
        <v>0</v>
      </c>
      <c r="W13" s="7" t="n">
        <f aca="false">IF(U13&gt;0,1,0)</f>
        <v>0</v>
      </c>
    </row>
    <row r="14" customFormat="false" ht="15" hidden="false" customHeight="false" outlineLevel="0" collapsed="false">
      <c r="C14" s="11" t="s">
        <v>33</v>
      </c>
      <c r="D14" s="12" t="str">
        <f aca="false">IF(Setup!$C$18&gt;0,"Done","To do")</f>
        <v>Done</v>
      </c>
      <c r="E14" s="13" t="str">
        <f aca="false">IF(Setup!$C$18&gt;0,"","Add your take-home pay in Setup")</f>
        <v/>
      </c>
      <c r="T14" s="7" t="s">
        <v>34</v>
      </c>
      <c r="U14" s="7" t="n">
        <f aca="false">SUMPRODUCT((September!$E$7:$E$86&lt;&gt;"")*(September!$D$7:$D$86&lt;&gt;"")*(COUNTIF(Categories,September!$D$7:$D$86)=0))</f>
        <v>0</v>
      </c>
      <c r="V14" s="7" t="n">
        <f aca="false">SUMPRODUCT((September!$E$7:$E$86&lt;&gt;"")*(September!$D$7:$D$86=""))</f>
        <v>0</v>
      </c>
      <c r="W14" s="7" t="n">
        <f aca="false">IF(U14&gt;0,1,0)</f>
        <v>0</v>
      </c>
    </row>
    <row r="15" customFormat="false" ht="15" hidden="false" customHeight="false" outlineLevel="0" collapsed="false">
      <c r="C15" s="11" t="s">
        <v>35</v>
      </c>
      <c r="D15" s="12" t="str">
        <f aca="false">IF(ROUND(Setup!$G$41,2)=0,"Done","To do")</f>
        <v>Done</v>
      </c>
      <c r="E15" s="13" t="str">
        <f aca="false">IF(ROUND(Setup!$G$41,2)&gt;0,"You have "&amp;TEXT(Setup!$G$41,"$#,##0.00")&amp;" not budgeted yet",IF(ROUND(Setup!$G$41,2)&lt;0,"Over by "&amp;TEXT(-Setup!$G$41,"$#,##0.00")&amp;": lower a budget",""))</f>
        <v/>
      </c>
      <c r="T15" s="7" t="s">
        <v>36</v>
      </c>
      <c r="U15" s="7" t="n">
        <f aca="false">SUMPRODUCT((October!$E$7:$E$86&lt;&gt;"")*(October!$D$7:$D$86&lt;&gt;"")*(COUNTIF(Categories,October!$D$7:$D$86)=0))</f>
        <v>0</v>
      </c>
      <c r="V15" s="7" t="n">
        <f aca="false">SUMPRODUCT((October!$E$7:$E$86&lt;&gt;"")*(October!$D$7:$D$86=""))</f>
        <v>0</v>
      </c>
      <c r="W15" s="7" t="n">
        <f aca="false">IF(U15&gt;0,1,0)</f>
        <v>0</v>
      </c>
    </row>
    <row r="16" customFormat="false" ht="15" hidden="false" customHeight="false" outlineLevel="0" collapsed="false">
      <c r="C16" s="11" t="s">
        <v>37</v>
      </c>
      <c r="D16" s="12" t="str">
        <f aca="false">IF(COUNTIFS(Setup!$E$10:$E$39,"&lt;&gt;",Setup!$F$10:$F$39,"")=0,"Done","To do")</f>
        <v>Done</v>
      </c>
      <c r="E16" s="13" t="str">
        <f aca="false">IF(COUNTIFS(Setup!$E$10:$E$39,"&lt;&gt;",Setup!$F$10:$F$39,"")=0,"",COUNTIFS(Setup!$E$10:$E$39,"&lt;&gt;",Setup!$F$10:$F$39,"")&amp;" categories need a group: pick Needs, Wants, Savings or Debt in Setup")</f>
        <v/>
      </c>
      <c r="T16" s="7" t="s">
        <v>38</v>
      </c>
      <c r="U16" s="7" t="n">
        <f aca="false">SUMPRODUCT((November!$E$7:$E$86&lt;&gt;"")*(November!$D$7:$D$86&lt;&gt;"")*(COUNTIF(Categories,November!$D$7:$D$86)=0))</f>
        <v>0</v>
      </c>
      <c r="V16" s="7" t="n">
        <f aca="false">SUMPRODUCT((November!$E$7:$E$86&lt;&gt;"")*(November!$D$7:$D$86=""))</f>
        <v>0</v>
      </c>
      <c r="W16" s="7" t="n">
        <f aca="false">IF(U16&gt;0,1,0)</f>
        <v>0</v>
      </c>
    </row>
    <row r="17" customFormat="false" ht="15" hidden="false" customHeight="false" outlineLevel="0" collapsed="false">
      <c r="C17" s="11" t="s">
        <v>39</v>
      </c>
      <c r="D17" s="12" t="str">
        <f aca="false">IF(SUM(U6:U17)=0,"Done","To do")</f>
        <v>Done</v>
      </c>
      <c r="E17" s="13" t="str">
        <f aca="false">IF(SUM(U6:U17)=0,"",SUM(U6:U17)&amp;" entries use a category not in Setup (first in "&amp;INDEX(T6:T17,MATCH(1,W6:W17,0))&amp;"): pick their category again")</f>
        <v/>
      </c>
      <c r="T17" s="7" t="s">
        <v>40</v>
      </c>
      <c r="U17" s="7" t="n">
        <f aca="false">SUMPRODUCT((December!$E$7:$E$86&lt;&gt;"")*(December!$D$7:$D$86&lt;&gt;"")*(COUNTIF(Categories,December!$D$7:$D$86)=0))</f>
        <v>0</v>
      </c>
      <c r="V17" s="7" t="n">
        <f aca="false">SUMPRODUCT((December!$E$7:$E$86&lt;&gt;"")*(December!$D$7:$D$86=""))</f>
        <v>0</v>
      </c>
      <c r="W17" s="7" t="n">
        <f aca="false">IF(U17&gt;0,1,0)</f>
        <v>0</v>
      </c>
    </row>
    <row r="18" customFormat="false" ht="15" hidden="false" customHeight="false" outlineLevel="0" collapsed="false">
      <c r="C18" s="11" t="s">
        <v>41</v>
      </c>
      <c r="D18" s="12" t="str">
        <f aca="false">IF(SUM(V6:V17)=0,"Done","To do")</f>
        <v>Done</v>
      </c>
      <c r="E18" s="13" t="str">
        <f aca="false">IF(SUM(V6:V17)=0,"",SUM(V6:V17)&amp;" amounts have no category, so they are not counted yet")</f>
        <v/>
      </c>
    </row>
    <row r="19" customFormat="false" ht="15" hidden="false" customHeight="false" outlineLevel="0" collapsed="false">
      <c r="C19" s="11" t="s">
        <v>42</v>
      </c>
      <c r="D19" s="12" t="str">
        <f aca="false">IF(SUMPRODUCT(COUNTIF(January!$C$7:$C$86,{"Rent","Weekly shop","Bus pass","Pizza night","Weekly shop","Phone bill","To emergency fund","Streaming","Card payment","Concert tickets","Shoes"}))=0,"Done","To do")</f>
        <v>To do</v>
      </c>
      <c r="E19" s="13" t="str">
        <f aca="false">IF(SUMPRODUCT(COUNTIF(January!$C$7:$C$86,{"Rent","Weekly shop","Bus pass","Pizza night","Weekly shop","Phone bill","To emergency fund","Streaming","Card payment","Concert tickets","Shoes"}))=0,"","Clear the example in January (step 2)")</f>
        <v>Clear the example in January (step 2)</v>
      </c>
    </row>
    <row r="20" customFormat="false" ht="15" hidden="false" customHeight="false" outlineLevel="0" collapsed="false">
      <c r="C20" s="11" t="s">
        <v>43</v>
      </c>
      <c r="D20" s="12" t="s">
        <v>44</v>
      </c>
      <c r="E20" s="13" t="str">
        <f aca="false">IF(Setup!$G$40=0,"",TEXT(SUMIF(Setup!$F$10:$F$39,"Needs",Setup!$G$10:$G$39)/Setup!$G$40,"0%")&amp;" needs, "&amp;TEXT(SUMIF(Setup!$F$10:$F$39,"Wants",Setup!$G$10:$G$39)/Setup!$G$40,"0%")&amp;" wants, "&amp;TEXT((SUMIF(Setup!$F$10:$F$39,"Savings",Setup!$G$10:$G$39)+SUMIF(Setup!$F$10:$F$39,"Debt",Setup!$G$10:$G$39))/Setup!$G$40,"0%")&amp;" savings and debt (50/30/20 guide)")</f>
        <v>67% needs, 13% wants, 20% savings and debt (50/30/20 guide)</v>
      </c>
    </row>
    <row r="22" customFormat="false" ht="15" hidden="false" customHeight="false" outlineLevel="0" collapsed="false">
      <c r="C22" s="14" t="s">
        <v>45</v>
      </c>
    </row>
    <row r="23" customFormat="false" ht="15" hidden="false" customHeight="false" outlineLevel="0" collapsed="false">
      <c r="C23" s="15" t="s">
        <v>12</v>
      </c>
      <c r="D23" s="15" t="s">
        <v>15</v>
      </c>
      <c r="E23" s="15" t="s">
        <v>18</v>
      </c>
    </row>
    <row r="24" customFormat="false" ht="15" hidden="false" customHeight="false" outlineLevel="0" collapsed="false">
      <c r="C24" s="15" t="s">
        <v>21</v>
      </c>
      <c r="D24" s="15" t="s">
        <v>24</v>
      </c>
      <c r="E24" s="15" t="s">
        <v>25</v>
      </c>
    </row>
    <row r="25" customFormat="false" ht="15" hidden="false" customHeight="false" outlineLevel="0" collapsed="false">
      <c r="C25" s="15" t="s">
        <v>28</v>
      </c>
      <c r="D25" s="15" t="s">
        <v>32</v>
      </c>
      <c r="E25" s="15" t="s">
        <v>34</v>
      </c>
    </row>
    <row r="26" customFormat="false" ht="15" hidden="false" customHeight="false" outlineLevel="0" collapsed="false">
      <c r="C26" s="15" t="s">
        <v>36</v>
      </c>
      <c r="D26" s="15" t="s">
        <v>38</v>
      </c>
      <c r="E26" s="15" t="s">
        <v>40</v>
      </c>
    </row>
    <row r="28" customFormat="false" ht="15" hidden="false" customHeight="false" outlineLevel="0" collapsed="false">
      <c r="C28" s="14" t="s">
        <v>46</v>
      </c>
    </row>
    <row r="29" customFormat="false" ht="30" hidden="false" customHeight="true" outlineLevel="0" collapsed="false">
      <c r="C29" s="16" t="s">
        <v>47</v>
      </c>
      <c r="D29" s="16"/>
      <c r="E29" s="16"/>
    </row>
    <row r="30" customFormat="false" ht="30" hidden="false" customHeight="true" outlineLevel="0" collapsed="false">
      <c r="C30" s="16" t="s">
        <v>48</v>
      </c>
      <c r="D30" s="16"/>
      <c r="E30" s="16"/>
    </row>
    <row r="31" customFormat="false" ht="15" hidden="false" customHeight="true" outlineLevel="0" collapsed="false">
      <c r="C31" s="16" t="s">
        <v>49</v>
      </c>
      <c r="D31" s="16"/>
      <c r="E31" s="16"/>
    </row>
    <row r="32" customFormat="false" ht="30" hidden="false" customHeight="true" outlineLevel="0" collapsed="false">
      <c r="C32" s="16" t="s">
        <v>50</v>
      </c>
      <c r="D32" s="16"/>
      <c r="E32" s="16"/>
    </row>
    <row r="34" customFormat="false" ht="15" hidden="false" customHeight="false" outlineLevel="0" collapsed="false">
      <c r="C34" s="14" t="s">
        <v>51</v>
      </c>
    </row>
    <row r="35" customFormat="false" ht="15" hidden="false" customHeight="false" outlineLevel="0" collapsed="false">
      <c r="C35" s="17" t="s">
        <v>52</v>
      </c>
      <c r="E35" s="18" t="s">
        <v>53</v>
      </c>
    </row>
    <row r="36" customFormat="false" ht="15" hidden="false" customHeight="false" outlineLevel="0" collapsed="false">
      <c r="C36" s="19" t="s">
        <v>54</v>
      </c>
      <c r="E36" s="18" t="s">
        <v>55</v>
      </c>
    </row>
    <row r="38" customFormat="false" ht="60" hidden="false" customHeight="true" outlineLevel="0" collapsed="false">
      <c r="C38" s="20" t="s">
        <v>56</v>
      </c>
      <c r="D38" s="16" t="s">
        <v>57</v>
      </c>
      <c r="E38" s="16"/>
    </row>
  </sheetData>
  <sheetProtection sheet="true" formatColumns="false" formatRows="false" insertRows="false" sort="false" autoFilter="false"/>
  <mergeCells count="10">
    <mergeCell ref="D6:E6"/>
    <mergeCell ref="D7:E7"/>
    <mergeCell ref="D8:E8"/>
    <mergeCell ref="D9:E9"/>
    <mergeCell ref="D10:E10"/>
    <mergeCell ref="C29:E29"/>
    <mergeCell ref="C30:E30"/>
    <mergeCell ref="C31:E31"/>
    <mergeCell ref="C32:E32"/>
    <mergeCell ref="D38:E38"/>
  </mergeCells>
  <conditionalFormatting sqref="D14:D20">
    <cfRule type="expression" priority="2" aboveAverage="0" equalAverage="0" bottom="0" percent="0" rank="0" text="" dxfId="0">
      <formula>D14="Done"</formula>
    </cfRule>
    <cfRule type="expression" priority="3" aboveAverage="0" equalAverage="0" bottom="0" percent="0" rank="0" text="" dxfId="1">
      <formula>D14="To do"</formula>
    </cfRule>
  </conditionalFormatting>
  <hyperlinks>
    <hyperlink ref="C4" r:id="rId1" location="'Start%20here'!A1" display="Start here"/>
    <hyperlink ref="D4" r:id="rId2" location="'Dashboard'!A1" display="Dashboard"/>
    <hyperlink ref="E4" r:id="rId3" location="'Setup'!A1" display="Setup"/>
    <hyperlink ref="F4" r:id="rId4" location="'January'!A1" display="Months"/>
    <hyperlink ref="G4" r:id="rId5" location="'Bills'!A1" display="Bills"/>
    <hyperlink ref="H4" r:id="rId6" location="'Paycheck%20plan'!A1" display="Paycheck"/>
    <hyperlink ref="I4" r:id="rId7" location="'Debt%20payoff'!A1" display="Debt"/>
    <hyperlink ref="J4" r:id="rId8" location="'Savings%20goals'!A1" display="Savings"/>
    <hyperlink ref="C23" r:id="rId9" location="'January'!A1" display="January"/>
    <hyperlink ref="D23" r:id="rId10" location="'February'!A1" display="February"/>
    <hyperlink ref="E23" r:id="rId11" location="'March'!A1" display="March"/>
    <hyperlink ref="C24" r:id="rId12" location="'April'!A1" display="April"/>
    <hyperlink ref="D24" r:id="rId13" location="'May'!A1" display="May"/>
    <hyperlink ref="E24" r:id="rId14" location="'June'!A1" display="June"/>
    <hyperlink ref="C25" r:id="rId15" location="'July'!A1" display="July"/>
    <hyperlink ref="D25" r:id="rId16" location="'August'!A1" display="August"/>
    <hyperlink ref="E25" r:id="rId17" location="'September'!A1" display="September"/>
    <hyperlink ref="C26" r:id="rId18" location="'October'!A1" display="October"/>
    <hyperlink ref="D26" r:id="rId19" location="'November'!A1" display="November"/>
    <hyperlink ref="E26" r:id="rId20" location="'December'!A1" display="December"/>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J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7" min="2" style="0" width="14"/>
    <col collapsed="false" customWidth="true" hidden="false" outlineLevel="0" max="8" min="8" style="0" width="24"/>
    <col collapsed="false" customWidth="true" hidden="false" outlineLevel="0" max="9" min="9" style="0" width="16"/>
    <col collapsed="false" customWidth="true" hidden="true" outlineLevel="0" max="10" min="10" style="0" width="14"/>
    <col collapsed="false" customWidth="true" hidden="false" outlineLevel="0" max="29" min="11" style="0" width="14"/>
  </cols>
  <sheetData>
    <row r="2" customFormat="false" ht="33.75" hidden="false" customHeight="true" outlineLevel="0" collapsed="false">
      <c r="B2" s="1" t="s">
        <v>3</v>
      </c>
    </row>
    <row r="3" customFormat="false" ht="15" hidden="false" customHeight="false" outlineLevel="0" collapsed="false">
      <c r="B3" s="2" t="s">
        <v>58</v>
      </c>
    </row>
    <row r="4" customFormat="false" ht="15" hidden="false" customHeight="false" outlineLevel="0" collapsed="false">
      <c r="B4" s="3" t="s">
        <v>2</v>
      </c>
      <c r="C4" s="3" t="s">
        <v>3</v>
      </c>
      <c r="D4" s="3" t="s">
        <v>4</v>
      </c>
      <c r="E4" s="3" t="s">
        <v>5</v>
      </c>
      <c r="F4" s="3" t="s">
        <v>6</v>
      </c>
      <c r="G4" s="3" t="s">
        <v>7</v>
      </c>
      <c r="H4" s="3" t="s">
        <v>8</v>
      </c>
      <c r="I4" s="3" t="s">
        <v>9</v>
      </c>
    </row>
    <row r="6" customFormat="false" ht="21.75" hidden="false" customHeight="true" outlineLevel="0" collapsed="false">
      <c r="B6" s="10" t="s">
        <v>59</v>
      </c>
      <c r="C6" s="10" t="s">
        <v>60</v>
      </c>
      <c r="D6" s="10" t="s">
        <v>61</v>
      </c>
      <c r="E6" s="10" t="s">
        <v>62</v>
      </c>
      <c r="F6" s="10" t="s">
        <v>63</v>
      </c>
      <c r="H6" s="10" t="s">
        <v>64</v>
      </c>
      <c r="I6" s="10" t="s">
        <v>65</v>
      </c>
    </row>
    <row r="7" customFormat="false" ht="15" hidden="false" customHeight="false" outlineLevel="0" collapsed="false">
      <c r="B7" s="21" t="s">
        <v>12</v>
      </c>
      <c r="C7" s="22" t="n">
        <f aca="false">IF(COUNT(January!$E$7:$E$86)&gt;0,January!H6,"")</f>
        <v>3900</v>
      </c>
      <c r="D7" s="22" t="n">
        <f aca="false">IF(COUNT(January!$E$7:$E$86)&gt;0,January!H7,"")</f>
        <v>2112.09</v>
      </c>
      <c r="E7" s="22" t="n">
        <f aca="false">IF(COUNT(January!$E$7:$E$86)&gt;0,January!H8,"")</f>
        <v>1787.91</v>
      </c>
      <c r="F7" s="22" t="n">
        <f aca="false">IF(COUNT(January!$E$7:$E$86)&gt;0,January!H9,"")</f>
        <v>350</v>
      </c>
      <c r="H7" s="11" t="str">
        <f aca="false">IF(Setup!E10="","",Setup!E10)</f>
        <v>Rent or mortgage</v>
      </c>
      <c r="I7" s="22" t="n">
        <f aca="false">IF(H7="","",SUMIFS(January!$E$7:$E$86,January!$D$7:$D$86,H7)+SUMIFS(February!$E$7:$E$86,February!$D$7:$D$86,H7)+SUMIFS(March!$E$7:$E$86,March!$D$7:$D$86,H7)+SUMIFS(April!$E$7:$E$86,April!$D$7:$D$86,H7)+SUMIFS(May!$E$7:$E$86,May!$D$7:$D$86,H7)+SUMIFS(June!$E$7:$E$86,June!$D$7:$D$86,H7)+SUMIFS(July!$E$7:$E$86,July!$D$7:$D$86,H7)+SUMIFS(August!$E$7:$E$86,August!$D$7:$D$86,H7)+SUMIFS(September!$E$7:$E$86,September!$D$7:$D$86,H7)+SUMIFS(October!$E$7:$E$86,October!$D$7:$D$86,H7)+SUMIFS(November!$E$7:$E$86,November!$D$7:$D$86,H7)+SUMIFS(December!$E$7:$E$86,December!$D$7:$D$86,H7))</f>
        <v>1200</v>
      </c>
      <c r="J7" s="11" t="str">
        <f aca="false">IF(H7="","",Setup!F10)</f>
        <v>Needs</v>
      </c>
    </row>
    <row r="8" customFormat="false" ht="15" hidden="false" customHeight="false" outlineLevel="0" collapsed="false">
      <c r="B8" s="21" t="s">
        <v>15</v>
      </c>
      <c r="C8" s="22" t="str">
        <f aca="false">IF(COUNT(February!$E$7:$E$86)&gt;0,February!H6,"")</f>
        <v/>
      </c>
      <c r="D8" s="22" t="str">
        <f aca="false">IF(COUNT(February!$E$7:$E$86)&gt;0,February!H7,"")</f>
        <v/>
      </c>
      <c r="E8" s="22" t="str">
        <f aca="false">IF(COUNT(February!$E$7:$E$86)&gt;0,February!H8,"")</f>
        <v/>
      </c>
      <c r="F8" s="22" t="str">
        <f aca="false">IF(COUNT(February!$E$7:$E$86)&gt;0,February!H9,"")</f>
        <v/>
      </c>
      <c r="H8" s="11" t="str">
        <f aca="false">IF(Setup!E11="","",Setup!E11)</f>
        <v>Utilities</v>
      </c>
      <c r="I8" s="22" t="n">
        <f aca="false">IF(H8="","",SUMIFS(January!$E$7:$E$86,January!$D$7:$D$86,H8)+SUMIFS(February!$E$7:$E$86,February!$D$7:$D$86,H8)+SUMIFS(March!$E$7:$E$86,March!$D$7:$D$86,H8)+SUMIFS(April!$E$7:$E$86,April!$D$7:$D$86,H8)+SUMIFS(May!$E$7:$E$86,May!$D$7:$D$86,H8)+SUMIFS(June!$E$7:$E$86,June!$D$7:$D$86,H8)+SUMIFS(July!$E$7:$E$86,July!$D$7:$D$86,H8)+SUMIFS(August!$E$7:$E$86,August!$D$7:$D$86,H8)+SUMIFS(September!$E$7:$E$86,September!$D$7:$D$86,H8)+SUMIFS(October!$E$7:$E$86,October!$D$7:$D$86,H8)+SUMIFS(November!$E$7:$E$86,November!$D$7:$D$86,H8)+SUMIFS(December!$E$7:$E$86,December!$D$7:$D$86,H8))</f>
        <v>0</v>
      </c>
      <c r="J8" s="11" t="str">
        <f aca="false">IF(H8="","",Setup!F11)</f>
        <v>Needs</v>
      </c>
    </row>
    <row r="9" customFormat="false" ht="15" hidden="false" customHeight="false" outlineLevel="0" collapsed="false">
      <c r="B9" s="21" t="s">
        <v>18</v>
      </c>
      <c r="C9" s="22" t="str">
        <f aca="false">IF(COUNT(March!$E$7:$E$86)&gt;0,March!H6,"")</f>
        <v/>
      </c>
      <c r="D9" s="22" t="str">
        <f aca="false">IF(COUNT(March!$E$7:$E$86)&gt;0,March!H7,"")</f>
        <v/>
      </c>
      <c r="E9" s="22" t="str">
        <f aca="false">IF(COUNT(March!$E$7:$E$86)&gt;0,March!H8,"")</f>
        <v/>
      </c>
      <c r="F9" s="22" t="str">
        <f aca="false">IF(COUNT(March!$E$7:$E$86)&gt;0,March!H9,"")</f>
        <v/>
      </c>
      <c r="H9" s="11" t="str">
        <f aca="false">IF(Setup!E12="","",Setup!E12)</f>
        <v>Groceries</v>
      </c>
      <c r="I9" s="22" t="n">
        <f aca="false">IF(H9="","",SUMIFS(January!$E$7:$E$86,January!$D$7:$D$86,H9)+SUMIFS(February!$E$7:$E$86,February!$D$7:$D$86,H9)+SUMIFS(March!$E$7:$E$86,March!$D$7:$D$86,H9)+SUMIFS(April!$E$7:$E$86,April!$D$7:$D$86,H9)+SUMIFS(May!$E$7:$E$86,May!$D$7:$D$86,H9)+SUMIFS(June!$E$7:$E$86,June!$D$7:$D$86,H9)+SUMIFS(July!$E$7:$E$86,July!$D$7:$D$86,H9)+SUMIFS(August!$E$7:$E$86,August!$D$7:$D$86,H9)+SUMIFS(September!$E$7:$E$86,September!$D$7:$D$86,H9)+SUMIFS(October!$E$7:$E$86,October!$D$7:$D$86,H9)+SUMIFS(November!$E$7:$E$86,November!$D$7:$D$86,H9)+SUMIFS(December!$E$7:$E$86,December!$D$7:$D$86,H9))</f>
        <v>208.6</v>
      </c>
      <c r="J9" s="11" t="str">
        <f aca="false">IF(H9="","",Setup!F12)</f>
        <v>Needs</v>
      </c>
    </row>
    <row r="10" customFormat="false" ht="15" hidden="false" customHeight="false" outlineLevel="0" collapsed="false">
      <c r="B10" s="21" t="s">
        <v>21</v>
      </c>
      <c r="C10" s="22" t="str">
        <f aca="false">IF(COUNT(April!$E$7:$E$86)&gt;0,April!H6,"")</f>
        <v/>
      </c>
      <c r="D10" s="22" t="str">
        <f aca="false">IF(COUNT(April!$E$7:$E$86)&gt;0,April!H7,"")</f>
        <v/>
      </c>
      <c r="E10" s="22" t="str">
        <f aca="false">IF(COUNT(April!$E$7:$E$86)&gt;0,April!H8,"")</f>
        <v/>
      </c>
      <c r="F10" s="22" t="str">
        <f aca="false">IF(COUNT(April!$E$7:$E$86)&gt;0,April!H9,"")</f>
        <v/>
      </c>
      <c r="H10" s="11" t="str">
        <f aca="false">IF(Setup!E13="","",Setup!E13)</f>
        <v>Transport</v>
      </c>
      <c r="I10" s="22" t="n">
        <f aca="false">IF(H10="","",SUMIFS(January!$E$7:$E$86,January!$D$7:$D$86,H10)+SUMIFS(February!$E$7:$E$86,February!$D$7:$D$86,H10)+SUMIFS(March!$E$7:$E$86,March!$D$7:$D$86,H10)+SUMIFS(April!$E$7:$E$86,April!$D$7:$D$86,H10)+SUMIFS(May!$E$7:$E$86,May!$D$7:$D$86,H10)+SUMIFS(June!$E$7:$E$86,June!$D$7:$D$86,H10)+SUMIFS(July!$E$7:$E$86,July!$D$7:$D$86,H10)+SUMIFS(August!$E$7:$E$86,August!$D$7:$D$86,H10)+SUMIFS(September!$E$7:$E$86,September!$D$7:$D$86,H10)+SUMIFS(October!$E$7:$E$86,October!$D$7:$D$86,H10)+SUMIFS(November!$E$7:$E$86,November!$D$7:$D$86,H10)+SUMIFS(December!$E$7:$E$86,December!$D$7:$D$86,H10))</f>
        <v>60</v>
      </c>
      <c r="J10" s="11" t="str">
        <f aca="false">IF(H10="","",Setup!F13)</f>
        <v>Needs</v>
      </c>
    </row>
    <row r="11" customFormat="false" ht="15" hidden="false" customHeight="false" outlineLevel="0" collapsed="false">
      <c r="B11" s="21" t="s">
        <v>24</v>
      </c>
      <c r="C11" s="22" t="str">
        <f aca="false">IF(COUNT(May!$E$7:$E$86)&gt;0,May!H6,"")</f>
        <v/>
      </c>
      <c r="D11" s="22" t="str">
        <f aca="false">IF(COUNT(May!$E$7:$E$86)&gt;0,May!H7,"")</f>
        <v/>
      </c>
      <c r="E11" s="22" t="str">
        <f aca="false">IF(COUNT(May!$E$7:$E$86)&gt;0,May!H8,"")</f>
        <v/>
      </c>
      <c r="F11" s="22" t="str">
        <f aca="false">IF(COUNT(May!$E$7:$E$86)&gt;0,May!H9,"")</f>
        <v/>
      </c>
      <c r="H11" s="11" t="str">
        <f aca="false">IF(Setup!E14="","",Setup!E14)</f>
        <v>Insurance</v>
      </c>
      <c r="I11" s="22" t="n">
        <f aca="false">IF(H11="","",SUMIFS(January!$E$7:$E$86,January!$D$7:$D$86,H11)+SUMIFS(February!$E$7:$E$86,February!$D$7:$D$86,H11)+SUMIFS(March!$E$7:$E$86,March!$D$7:$D$86,H11)+SUMIFS(April!$E$7:$E$86,April!$D$7:$D$86,H11)+SUMIFS(May!$E$7:$E$86,May!$D$7:$D$86,H11)+SUMIFS(June!$E$7:$E$86,June!$D$7:$D$86,H11)+SUMIFS(July!$E$7:$E$86,July!$D$7:$D$86,H11)+SUMIFS(August!$E$7:$E$86,August!$D$7:$D$86,H11)+SUMIFS(September!$E$7:$E$86,September!$D$7:$D$86,H11)+SUMIFS(October!$E$7:$E$86,October!$D$7:$D$86,H11)+SUMIFS(November!$E$7:$E$86,November!$D$7:$D$86,H11)+SUMIFS(December!$E$7:$E$86,December!$D$7:$D$86,H11))</f>
        <v>0</v>
      </c>
      <c r="J11" s="11" t="str">
        <f aca="false">IF(H11="","",Setup!F14)</f>
        <v>Needs</v>
      </c>
    </row>
    <row r="12" customFormat="false" ht="15" hidden="false" customHeight="false" outlineLevel="0" collapsed="false">
      <c r="B12" s="21" t="s">
        <v>25</v>
      </c>
      <c r="C12" s="22" t="str">
        <f aca="false">IF(COUNT(June!$E$7:$E$86)&gt;0,June!H6,"")</f>
        <v/>
      </c>
      <c r="D12" s="22" t="str">
        <f aca="false">IF(COUNT(June!$E$7:$E$86)&gt;0,June!H7,"")</f>
        <v/>
      </c>
      <c r="E12" s="22" t="str">
        <f aca="false">IF(COUNT(June!$E$7:$E$86)&gt;0,June!H8,"")</f>
        <v/>
      </c>
      <c r="F12" s="22" t="str">
        <f aca="false">IF(COUNT(June!$E$7:$E$86)&gt;0,June!H9,"")</f>
        <v/>
      </c>
      <c r="H12" s="11" t="str">
        <f aca="false">IF(Setup!E15="","",Setup!E15)</f>
        <v>Phone and internet</v>
      </c>
      <c r="I12" s="22" t="n">
        <f aca="false">IF(H12="","",SUMIFS(January!$E$7:$E$86,January!$D$7:$D$86,H12)+SUMIFS(February!$E$7:$E$86,February!$D$7:$D$86,H12)+SUMIFS(March!$E$7:$E$86,March!$D$7:$D$86,H12)+SUMIFS(April!$E$7:$E$86,April!$D$7:$D$86,H12)+SUMIFS(May!$E$7:$E$86,May!$D$7:$D$86,H12)+SUMIFS(June!$E$7:$E$86,June!$D$7:$D$86,H12)+SUMIFS(July!$E$7:$E$86,July!$D$7:$D$86,H12)+SUMIFS(August!$E$7:$E$86,August!$D$7:$D$86,H12)+SUMIFS(September!$E$7:$E$86,September!$D$7:$D$86,H12)+SUMIFS(October!$E$7:$E$86,October!$D$7:$D$86,H12)+SUMIFS(November!$E$7:$E$86,November!$D$7:$D$86,H12)+SUMIFS(December!$E$7:$E$86,December!$D$7:$D$86,H12))</f>
        <v>55</v>
      </c>
      <c r="J12" s="11" t="str">
        <f aca="false">IF(H12="","",Setup!F15)</f>
        <v>Needs</v>
      </c>
    </row>
    <row r="13" customFormat="false" ht="15" hidden="false" customHeight="false" outlineLevel="0" collapsed="false">
      <c r="B13" s="21" t="s">
        <v>28</v>
      </c>
      <c r="C13" s="22" t="str">
        <f aca="false">IF(COUNT(July!$E$7:$E$86)&gt;0,July!H6,"")</f>
        <v/>
      </c>
      <c r="D13" s="22" t="str">
        <f aca="false">IF(COUNT(July!$E$7:$E$86)&gt;0,July!H7,"")</f>
        <v/>
      </c>
      <c r="E13" s="22" t="str">
        <f aca="false">IF(COUNT(July!$E$7:$E$86)&gt;0,July!H8,"")</f>
        <v/>
      </c>
      <c r="F13" s="22" t="str">
        <f aca="false">IF(COUNT(July!$E$7:$E$86)&gt;0,July!H9,"")</f>
        <v/>
      </c>
      <c r="H13" s="11" t="str">
        <f aca="false">IF(Setup!E16="","",Setup!E16)</f>
        <v>Medical</v>
      </c>
      <c r="I13" s="22" t="n">
        <f aca="false">IF(H13="","",SUMIFS(January!$E$7:$E$86,January!$D$7:$D$86,H13)+SUMIFS(February!$E$7:$E$86,February!$D$7:$D$86,H13)+SUMIFS(March!$E$7:$E$86,March!$D$7:$D$86,H13)+SUMIFS(April!$E$7:$E$86,April!$D$7:$D$86,H13)+SUMIFS(May!$E$7:$E$86,May!$D$7:$D$86,H13)+SUMIFS(June!$E$7:$E$86,June!$D$7:$D$86,H13)+SUMIFS(July!$E$7:$E$86,July!$D$7:$D$86,H13)+SUMIFS(August!$E$7:$E$86,August!$D$7:$D$86,H13)+SUMIFS(September!$E$7:$E$86,September!$D$7:$D$86,H13)+SUMIFS(October!$E$7:$E$86,October!$D$7:$D$86,H13)+SUMIFS(November!$E$7:$E$86,November!$D$7:$D$86,H13)+SUMIFS(December!$E$7:$E$86,December!$D$7:$D$86,H13))</f>
        <v>0</v>
      </c>
      <c r="J13" s="11" t="str">
        <f aca="false">IF(H13="","",Setup!F16)</f>
        <v>Needs</v>
      </c>
    </row>
    <row r="14" customFormat="false" ht="15" hidden="false" customHeight="false" outlineLevel="0" collapsed="false">
      <c r="B14" s="21" t="s">
        <v>32</v>
      </c>
      <c r="C14" s="22" t="str">
        <f aca="false">IF(COUNT(August!$E$7:$E$86)&gt;0,August!H6,"")</f>
        <v/>
      </c>
      <c r="D14" s="22" t="str">
        <f aca="false">IF(COUNT(August!$E$7:$E$86)&gt;0,August!H7,"")</f>
        <v/>
      </c>
      <c r="E14" s="22" t="str">
        <f aca="false">IF(COUNT(August!$E$7:$E$86)&gt;0,August!H8,"")</f>
        <v/>
      </c>
      <c r="F14" s="22" t="str">
        <f aca="false">IF(COUNT(August!$E$7:$E$86)&gt;0,August!H9,"")</f>
        <v/>
      </c>
      <c r="H14" s="11" t="str">
        <f aca="false">IF(Setup!E17="","",Setup!E17)</f>
        <v>Eating out</v>
      </c>
      <c r="I14" s="22" t="n">
        <f aca="false">IF(H14="","",SUMIFS(January!$E$7:$E$86,January!$D$7:$D$86,H14)+SUMIFS(February!$E$7:$E$86,February!$D$7:$D$86,H14)+SUMIFS(March!$E$7:$E$86,March!$D$7:$D$86,H14)+SUMIFS(April!$E$7:$E$86,April!$D$7:$D$86,H14)+SUMIFS(May!$E$7:$E$86,May!$D$7:$D$86,H14)+SUMIFS(June!$E$7:$E$86,June!$D$7:$D$86,H14)+SUMIFS(July!$E$7:$E$86,July!$D$7:$D$86,H14)+SUMIFS(August!$E$7:$E$86,August!$D$7:$D$86,H14)+SUMIFS(September!$E$7:$E$86,September!$D$7:$D$86,H14)+SUMIFS(October!$E$7:$E$86,October!$D$7:$D$86,H14)+SUMIFS(November!$E$7:$E$86,November!$D$7:$D$86,H14)+SUMIFS(December!$E$7:$E$86,December!$D$7:$D$86,H14))</f>
        <v>38.5</v>
      </c>
      <c r="J14" s="11" t="str">
        <f aca="false">IF(H14="","",Setup!F17)</f>
        <v>Wants</v>
      </c>
    </row>
    <row r="15" customFormat="false" ht="15" hidden="false" customHeight="false" outlineLevel="0" collapsed="false">
      <c r="B15" s="21" t="s">
        <v>34</v>
      </c>
      <c r="C15" s="22" t="str">
        <f aca="false">IF(COUNT(September!$E$7:$E$86)&gt;0,September!H6,"")</f>
        <v/>
      </c>
      <c r="D15" s="22" t="str">
        <f aca="false">IF(COUNT(September!$E$7:$E$86)&gt;0,September!H7,"")</f>
        <v/>
      </c>
      <c r="E15" s="22" t="str">
        <f aca="false">IF(COUNT(September!$E$7:$E$86)&gt;0,September!H8,"")</f>
        <v/>
      </c>
      <c r="F15" s="22" t="str">
        <f aca="false">IF(COUNT(September!$E$7:$E$86)&gt;0,September!H9,"")</f>
        <v/>
      </c>
      <c r="H15" s="11" t="str">
        <f aca="false">IF(Setup!E18="","",Setup!E18)</f>
        <v>Shopping</v>
      </c>
      <c r="I15" s="22" t="n">
        <f aca="false">IF(H15="","",SUMIFS(January!$E$7:$E$86,January!$D$7:$D$86,H15)+SUMIFS(February!$E$7:$E$86,February!$D$7:$D$86,H15)+SUMIFS(March!$E$7:$E$86,March!$D$7:$D$86,H15)+SUMIFS(April!$E$7:$E$86,April!$D$7:$D$86,H15)+SUMIFS(May!$E$7:$E$86,May!$D$7:$D$86,H15)+SUMIFS(June!$E$7:$E$86,June!$D$7:$D$86,H15)+SUMIFS(July!$E$7:$E$86,July!$D$7:$D$86,H15)+SUMIFS(August!$E$7:$E$86,August!$D$7:$D$86,H15)+SUMIFS(September!$E$7:$E$86,September!$D$7:$D$86,H15)+SUMIFS(October!$E$7:$E$86,October!$D$7:$D$86,H15)+SUMIFS(November!$E$7:$E$86,November!$D$7:$D$86,H15)+SUMIFS(December!$E$7:$E$86,December!$D$7:$D$86,H15))</f>
        <v>64</v>
      </c>
      <c r="J15" s="11" t="str">
        <f aca="false">IF(H15="","",Setup!F18)</f>
        <v>Wants</v>
      </c>
    </row>
    <row r="16" customFormat="false" ht="15" hidden="false" customHeight="false" outlineLevel="0" collapsed="false">
      <c r="B16" s="21" t="s">
        <v>36</v>
      </c>
      <c r="C16" s="22" t="str">
        <f aca="false">IF(COUNT(October!$E$7:$E$86)&gt;0,October!H6,"")</f>
        <v/>
      </c>
      <c r="D16" s="22" t="str">
        <f aca="false">IF(COUNT(October!$E$7:$E$86)&gt;0,October!H7,"")</f>
        <v/>
      </c>
      <c r="E16" s="22" t="str">
        <f aca="false">IF(COUNT(October!$E$7:$E$86)&gt;0,October!H8,"")</f>
        <v/>
      </c>
      <c r="F16" s="22" t="str">
        <f aca="false">IF(COUNT(October!$E$7:$E$86)&gt;0,October!H9,"")</f>
        <v/>
      </c>
      <c r="H16" s="11" t="str">
        <f aca="false">IF(Setup!E19="","",Setup!E19)</f>
        <v>Subscriptions</v>
      </c>
      <c r="I16" s="22" t="n">
        <f aca="false">IF(H16="","",SUMIFS(January!$E$7:$E$86,January!$D$7:$D$86,H16)+SUMIFS(February!$E$7:$E$86,February!$D$7:$D$86,H16)+SUMIFS(March!$E$7:$E$86,March!$D$7:$D$86,H16)+SUMIFS(April!$E$7:$E$86,April!$D$7:$D$86,H16)+SUMIFS(May!$E$7:$E$86,May!$D$7:$D$86,H16)+SUMIFS(June!$E$7:$E$86,June!$D$7:$D$86,H16)+SUMIFS(July!$E$7:$E$86,July!$D$7:$D$86,H16)+SUMIFS(August!$E$7:$E$86,August!$D$7:$D$86,H16)+SUMIFS(September!$E$7:$E$86,September!$D$7:$D$86,H16)+SUMIFS(October!$E$7:$E$86,October!$D$7:$D$86,H16)+SUMIFS(November!$E$7:$E$86,November!$D$7:$D$86,H16)+SUMIFS(December!$E$7:$E$86,December!$D$7:$D$86,H16))</f>
        <v>15.99</v>
      </c>
      <c r="J16" s="11" t="str">
        <f aca="false">IF(H16="","",Setup!F19)</f>
        <v>Wants</v>
      </c>
    </row>
    <row r="17" customFormat="false" ht="15" hidden="false" customHeight="false" outlineLevel="0" collapsed="false">
      <c r="B17" s="21" t="s">
        <v>38</v>
      </c>
      <c r="C17" s="22" t="str">
        <f aca="false">IF(COUNT(November!$E$7:$E$86)&gt;0,November!H6,"")</f>
        <v/>
      </c>
      <c r="D17" s="22" t="str">
        <f aca="false">IF(COUNT(November!$E$7:$E$86)&gt;0,November!H7,"")</f>
        <v/>
      </c>
      <c r="E17" s="22" t="str">
        <f aca="false">IF(COUNT(November!$E$7:$E$86)&gt;0,November!H8,"")</f>
        <v/>
      </c>
      <c r="F17" s="22" t="str">
        <f aca="false">IF(COUNT(November!$E$7:$E$86)&gt;0,November!H9,"")</f>
        <v/>
      </c>
      <c r="H17" s="11" t="str">
        <f aca="false">IF(Setup!E20="","",Setup!E20)</f>
        <v>Fun</v>
      </c>
      <c r="I17" s="22" t="n">
        <f aca="false">IF(H17="","",SUMIFS(January!$E$7:$E$86,January!$D$7:$D$86,H17)+SUMIFS(February!$E$7:$E$86,February!$D$7:$D$86,H17)+SUMIFS(March!$E$7:$E$86,March!$D$7:$D$86,H17)+SUMIFS(April!$E$7:$E$86,April!$D$7:$D$86,H17)+SUMIFS(May!$E$7:$E$86,May!$D$7:$D$86,H17)+SUMIFS(June!$E$7:$E$86,June!$D$7:$D$86,H17)+SUMIFS(July!$E$7:$E$86,July!$D$7:$D$86,H17)+SUMIFS(August!$E$7:$E$86,August!$D$7:$D$86,H17)+SUMIFS(September!$E$7:$E$86,September!$D$7:$D$86,H17)+SUMIFS(October!$E$7:$E$86,October!$D$7:$D$86,H17)+SUMIFS(November!$E$7:$E$86,November!$D$7:$D$86,H17)+SUMIFS(December!$E$7:$E$86,December!$D$7:$D$86,H17))</f>
        <v>120</v>
      </c>
      <c r="J17" s="11" t="str">
        <f aca="false">IF(H17="","",Setup!F20)</f>
        <v>Wants</v>
      </c>
    </row>
    <row r="18" customFormat="false" ht="15" hidden="false" customHeight="false" outlineLevel="0" collapsed="false">
      <c r="B18" s="21" t="s">
        <v>40</v>
      </c>
      <c r="C18" s="22" t="str">
        <f aca="false">IF(COUNT(December!$E$7:$E$86)&gt;0,December!H6,"")</f>
        <v/>
      </c>
      <c r="D18" s="22" t="str">
        <f aca="false">IF(COUNT(December!$E$7:$E$86)&gt;0,December!H7,"")</f>
        <v/>
      </c>
      <c r="E18" s="22" t="str">
        <f aca="false">IF(COUNT(December!$E$7:$E$86)&gt;0,December!H8,"")</f>
        <v/>
      </c>
      <c r="F18" s="22" t="str">
        <f aca="false">IF(COUNT(December!$E$7:$E$86)&gt;0,December!H9,"")</f>
        <v/>
      </c>
      <c r="H18" s="11" t="str">
        <f aca="false">IF(Setup!E21="","",Setup!E21)</f>
        <v>Gifts</v>
      </c>
      <c r="I18" s="22" t="n">
        <f aca="false">IF(H18="","",SUMIFS(January!$E$7:$E$86,January!$D$7:$D$86,H18)+SUMIFS(February!$E$7:$E$86,February!$D$7:$D$86,H18)+SUMIFS(March!$E$7:$E$86,March!$D$7:$D$86,H18)+SUMIFS(April!$E$7:$E$86,April!$D$7:$D$86,H18)+SUMIFS(May!$E$7:$E$86,May!$D$7:$D$86,H18)+SUMIFS(June!$E$7:$E$86,June!$D$7:$D$86,H18)+SUMIFS(July!$E$7:$E$86,July!$D$7:$D$86,H18)+SUMIFS(August!$E$7:$E$86,August!$D$7:$D$86,H18)+SUMIFS(September!$E$7:$E$86,September!$D$7:$D$86,H18)+SUMIFS(October!$E$7:$E$86,October!$D$7:$D$86,H18)+SUMIFS(November!$E$7:$E$86,November!$D$7:$D$86,H18)+SUMIFS(December!$E$7:$E$86,December!$D$7:$D$86,H18))</f>
        <v>0</v>
      </c>
      <c r="J18" s="11" t="str">
        <f aca="false">IF(H18="","",Setup!F21)</f>
        <v>Wants</v>
      </c>
    </row>
    <row r="19" customFormat="false" ht="15" hidden="false" customHeight="false" outlineLevel="0" collapsed="false">
      <c r="B19" s="19" t="s">
        <v>66</v>
      </c>
      <c r="C19" s="23" t="n">
        <f aca="false">SUM(C7:C18)</f>
        <v>3900</v>
      </c>
      <c r="D19" s="23" t="n">
        <f aca="false">SUM(D7:D18)</f>
        <v>2112.09</v>
      </c>
      <c r="E19" s="23" t="n">
        <f aca="false">SUM(E7:E18)</f>
        <v>1787.91</v>
      </c>
      <c r="F19" s="23" t="n">
        <f aca="false">SUM(F7:F18)</f>
        <v>350</v>
      </c>
      <c r="H19" s="11" t="str">
        <f aca="false">IF(Setup!E22="","",Setup!E22)</f>
        <v>Personal care</v>
      </c>
      <c r="I19" s="22" t="n">
        <f aca="false">IF(H19="","",SUMIFS(January!$E$7:$E$86,January!$D$7:$D$86,H19)+SUMIFS(February!$E$7:$E$86,February!$D$7:$D$86,H19)+SUMIFS(March!$E$7:$E$86,March!$D$7:$D$86,H19)+SUMIFS(April!$E$7:$E$86,April!$D$7:$D$86,H19)+SUMIFS(May!$E$7:$E$86,May!$D$7:$D$86,H19)+SUMIFS(June!$E$7:$E$86,June!$D$7:$D$86,H19)+SUMIFS(July!$E$7:$E$86,July!$D$7:$D$86,H19)+SUMIFS(August!$E$7:$E$86,August!$D$7:$D$86,H19)+SUMIFS(September!$E$7:$E$86,September!$D$7:$D$86,H19)+SUMIFS(October!$E$7:$E$86,October!$D$7:$D$86,H19)+SUMIFS(November!$E$7:$E$86,November!$D$7:$D$86,H19)+SUMIFS(December!$E$7:$E$86,December!$D$7:$D$86,H19))</f>
        <v>0</v>
      </c>
      <c r="J19" s="11" t="str">
        <f aca="false">IF(H19="","",Setup!F22)</f>
        <v>Wants</v>
      </c>
    </row>
    <row r="20" customFormat="false" ht="15" hidden="false" customHeight="false" outlineLevel="0" collapsed="false">
      <c r="B20" s="19" t="s">
        <v>67</v>
      </c>
      <c r="C20" s="24" t="n">
        <f aca="false">IF(C19=0,"",F19/C19)</f>
        <v>0.0897435897435897</v>
      </c>
      <c r="H20" s="11" t="str">
        <f aca="false">IF(Setup!E23="","",Setup!E23)</f>
        <v>Emergency fund</v>
      </c>
      <c r="I20" s="22" t="n">
        <f aca="false">IF(H20="","",SUMIFS(January!$E$7:$E$86,January!$D$7:$D$86,H20)+SUMIFS(February!$E$7:$E$86,February!$D$7:$D$86,H20)+SUMIFS(March!$E$7:$E$86,March!$D$7:$D$86,H20)+SUMIFS(April!$E$7:$E$86,April!$D$7:$D$86,H20)+SUMIFS(May!$E$7:$E$86,May!$D$7:$D$86,H20)+SUMIFS(June!$E$7:$E$86,June!$D$7:$D$86,H20)+SUMIFS(July!$E$7:$E$86,July!$D$7:$D$86,H20)+SUMIFS(August!$E$7:$E$86,August!$D$7:$D$86,H20)+SUMIFS(September!$E$7:$E$86,September!$D$7:$D$86,H20)+SUMIFS(October!$E$7:$E$86,October!$D$7:$D$86,H20)+SUMIFS(November!$E$7:$E$86,November!$D$7:$D$86,H20)+SUMIFS(December!$E$7:$E$86,December!$D$7:$D$86,H20))</f>
        <v>200</v>
      </c>
      <c r="J20" s="11" t="str">
        <f aca="false">IF(H20="","",Setup!F23)</f>
        <v>Savings</v>
      </c>
    </row>
    <row r="21" customFormat="false" ht="15" hidden="false" customHeight="false" outlineLevel="0" collapsed="false">
      <c r="H21" s="11" t="str">
        <f aca="false">IF(Setup!E24="","",Setup!E24)</f>
        <v>Sinking funds</v>
      </c>
      <c r="I21" s="22" t="n">
        <f aca="false">IF(H21="","",SUMIFS(January!$E$7:$E$86,January!$D$7:$D$86,H21)+SUMIFS(February!$E$7:$E$86,February!$D$7:$D$86,H21)+SUMIFS(March!$E$7:$E$86,March!$D$7:$D$86,H21)+SUMIFS(April!$E$7:$E$86,April!$D$7:$D$86,H21)+SUMIFS(May!$E$7:$E$86,May!$D$7:$D$86,H21)+SUMIFS(June!$E$7:$E$86,June!$D$7:$D$86,H21)+SUMIFS(July!$E$7:$E$86,July!$D$7:$D$86,H21)+SUMIFS(August!$E$7:$E$86,August!$D$7:$D$86,H21)+SUMIFS(September!$E$7:$E$86,September!$D$7:$D$86,H21)+SUMIFS(October!$E$7:$E$86,October!$D$7:$D$86,H21)+SUMIFS(November!$E$7:$E$86,November!$D$7:$D$86,H21)+SUMIFS(December!$E$7:$E$86,December!$D$7:$D$86,H21))</f>
        <v>0</v>
      </c>
      <c r="J21" s="11" t="str">
        <f aca="false">IF(H21="","",Setup!F24)</f>
        <v>Savings</v>
      </c>
    </row>
    <row r="22" customFormat="false" ht="15" hidden="false" customHeight="false" outlineLevel="0" collapsed="false">
      <c r="H22" s="11" t="str">
        <f aca="false">IF(Setup!E25="","",Setup!E25)</f>
        <v>Retirement</v>
      </c>
      <c r="I22" s="22" t="n">
        <f aca="false">IF(H22="","",SUMIFS(January!$E$7:$E$86,January!$D$7:$D$86,H22)+SUMIFS(February!$E$7:$E$86,February!$D$7:$D$86,H22)+SUMIFS(March!$E$7:$E$86,March!$D$7:$D$86,H22)+SUMIFS(April!$E$7:$E$86,April!$D$7:$D$86,H22)+SUMIFS(May!$E$7:$E$86,May!$D$7:$D$86,H22)+SUMIFS(June!$E$7:$E$86,June!$D$7:$D$86,H22)+SUMIFS(July!$E$7:$E$86,July!$D$7:$D$86,H22)+SUMIFS(August!$E$7:$E$86,August!$D$7:$D$86,H22)+SUMIFS(September!$E$7:$E$86,September!$D$7:$D$86,H22)+SUMIFS(October!$E$7:$E$86,October!$D$7:$D$86,H22)+SUMIFS(November!$E$7:$E$86,November!$D$7:$D$86,H22)+SUMIFS(December!$E$7:$E$86,December!$D$7:$D$86,H22))</f>
        <v>0</v>
      </c>
      <c r="J22" s="11" t="str">
        <f aca="false">IF(H22="","",Setup!F25)</f>
        <v>Savings</v>
      </c>
    </row>
    <row r="23" customFormat="false" ht="21.75" hidden="false" customHeight="true" outlineLevel="0" collapsed="false">
      <c r="B23" s="10" t="s">
        <v>68</v>
      </c>
      <c r="C23" s="10" t="s">
        <v>65</v>
      </c>
      <c r="H23" s="11" t="str">
        <f aca="false">IF(Setup!E26="","",Setup!E26)</f>
        <v>Credit card</v>
      </c>
      <c r="I23" s="22" t="n">
        <f aca="false">IF(H23="","",SUMIFS(January!$E$7:$E$86,January!$D$7:$D$86,H23)+SUMIFS(February!$E$7:$E$86,February!$D$7:$D$86,H23)+SUMIFS(March!$E$7:$E$86,March!$D$7:$D$86,H23)+SUMIFS(April!$E$7:$E$86,April!$D$7:$D$86,H23)+SUMIFS(May!$E$7:$E$86,May!$D$7:$D$86,H23)+SUMIFS(June!$E$7:$E$86,June!$D$7:$D$86,H23)+SUMIFS(July!$E$7:$E$86,July!$D$7:$D$86,H23)+SUMIFS(August!$E$7:$E$86,August!$D$7:$D$86,H23)+SUMIFS(September!$E$7:$E$86,September!$D$7:$D$86,H23)+SUMIFS(October!$E$7:$E$86,October!$D$7:$D$86,H23)+SUMIFS(November!$E$7:$E$86,November!$D$7:$D$86,H23)+SUMIFS(December!$E$7:$E$86,December!$D$7:$D$86,H23))</f>
        <v>150</v>
      </c>
      <c r="J23" s="11" t="str">
        <f aca="false">IF(H23="","",Setup!F26)</f>
        <v>Debt</v>
      </c>
    </row>
    <row r="24" customFormat="false" ht="15" hidden="false" customHeight="false" outlineLevel="0" collapsed="false">
      <c r="B24" s="11" t="s">
        <v>69</v>
      </c>
      <c r="C24" s="22" t="n">
        <f aca="false">SUMIF($J$7:$J$36,"Needs",$I$7:$I$36)</f>
        <v>1523.6</v>
      </c>
      <c r="H24" s="11" t="str">
        <f aca="false">IF(Setup!E27="","",Setup!E27)</f>
        <v>Student loan</v>
      </c>
      <c r="I24" s="22" t="n">
        <f aca="false">IF(H24="","",SUMIFS(January!$E$7:$E$86,January!$D$7:$D$86,H24)+SUMIFS(February!$E$7:$E$86,February!$D$7:$D$86,H24)+SUMIFS(March!$E$7:$E$86,March!$D$7:$D$86,H24)+SUMIFS(April!$E$7:$E$86,April!$D$7:$D$86,H24)+SUMIFS(May!$E$7:$E$86,May!$D$7:$D$86,H24)+SUMIFS(June!$E$7:$E$86,June!$D$7:$D$86,H24)+SUMIFS(July!$E$7:$E$86,July!$D$7:$D$86,H24)+SUMIFS(August!$E$7:$E$86,August!$D$7:$D$86,H24)+SUMIFS(September!$E$7:$E$86,September!$D$7:$D$86,H24)+SUMIFS(October!$E$7:$E$86,October!$D$7:$D$86,H24)+SUMIFS(November!$E$7:$E$86,November!$D$7:$D$86,H24)+SUMIFS(December!$E$7:$E$86,December!$D$7:$D$86,H24))</f>
        <v>0</v>
      </c>
      <c r="J24" s="11" t="str">
        <f aca="false">IF(H24="","",Setup!F27)</f>
        <v>Debt</v>
      </c>
    </row>
    <row r="25" customFormat="false" ht="15" hidden="false" customHeight="false" outlineLevel="0" collapsed="false">
      <c r="B25" s="11" t="s">
        <v>70</v>
      </c>
      <c r="C25" s="22" t="n">
        <f aca="false">SUMIF($J$7:$J$36,"Wants",$I$7:$I$36)</f>
        <v>238.49</v>
      </c>
      <c r="H25" s="11" t="str">
        <f aca="false">IF(Setup!E28="","",Setup!E28)</f>
        <v/>
      </c>
      <c r="I25" s="22" t="str">
        <f aca="false">IF(H25="","",SUMIFS(January!$E$7:$E$86,January!$D$7:$D$86,H25)+SUMIFS(February!$E$7:$E$86,February!$D$7:$D$86,H25)+SUMIFS(March!$E$7:$E$86,March!$D$7:$D$86,H25)+SUMIFS(April!$E$7:$E$86,April!$D$7:$D$86,H25)+SUMIFS(May!$E$7:$E$86,May!$D$7:$D$86,H25)+SUMIFS(June!$E$7:$E$86,June!$D$7:$D$86,H25)+SUMIFS(July!$E$7:$E$86,July!$D$7:$D$86,H25)+SUMIFS(August!$E$7:$E$86,August!$D$7:$D$86,H25)+SUMIFS(September!$E$7:$E$86,September!$D$7:$D$86,H25)+SUMIFS(October!$E$7:$E$86,October!$D$7:$D$86,H25)+SUMIFS(November!$E$7:$E$86,November!$D$7:$D$86,H25)+SUMIFS(December!$E$7:$E$86,December!$D$7:$D$86,H25))</f>
        <v/>
      </c>
      <c r="J25" s="11" t="str">
        <f aca="false">IF(H25="","",Setup!F28)</f>
        <v/>
      </c>
    </row>
    <row r="26" customFormat="false" ht="15" hidden="false" customHeight="false" outlineLevel="0" collapsed="false">
      <c r="B26" s="11" t="s">
        <v>9</v>
      </c>
      <c r="C26" s="22" t="n">
        <f aca="false">SUMIF($J$7:$J$36,"Savings",$I$7:$I$36)</f>
        <v>200</v>
      </c>
      <c r="H26" s="11" t="str">
        <f aca="false">IF(Setup!E29="","",Setup!E29)</f>
        <v/>
      </c>
      <c r="I26" s="22" t="str">
        <f aca="false">IF(H26="","",SUMIFS(January!$E$7:$E$86,January!$D$7:$D$86,H26)+SUMIFS(February!$E$7:$E$86,February!$D$7:$D$86,H26)+SUMIFS(March!$E$7:$E$86,March!$D$7:$D$86,H26)+SUMIFS(April!$E$7:$E$86,April!$D$7:$D$86,H26)+SUMIFS(May!$E$7:$E$86,May!$D$7:$D$86,H26)+SUMIFS(June!$E$7:$E$86,June!$D$7:$D$86,H26)+SUMIFS(July!$E$7:$E$86,July!$D$7:$D$86,H26)+SUMIFS(August!$E$7:$E$86,August!$D$7:$D$86,H26)+SUMIFS(September!$E$7:$E$86,September!$D$7:$D$86,H26)+SUMIFS(October!$E$7:$E$86,October!$D$7:$D$86,H26)+SUMIFS(November!$E$7:$E$86,November!$D$7:$D$86,H26)+SUMIFS(December!$E$7:$E$86,December!$D$7:$D$86,H26))</f>
        <v/>
      </c>
      <c r="J26" s="11" t="str">
        <f aca="false">IF(H26="","",Setup!F29)</f>
        <v/>
      </c>
    </row>
    <row r="27" customFormat="false" ht="15" hidden="false" customHeight="false" outlineLevel="0" collapsed="false">
      <c r="B27" s="11" t="s">
        <v>8</v>
      </c>
      <c r="C27" s="22" t="n">
        <f aca="false">SUMIF($J$7:$J$36,"Debt",$I$7:$I$36)</f>
        <v>150</v>
      </c>
      <c r="H27" s="11" t="str">
        <f aca="false">IF(Setup!E30="","",Setup!E30)</f>
        <v/>
      </c>
      <c r="I27" s="22" t="str">
        <f aca="false">IF(H27="","",SUMIFS(January!$E$7:$E$86,January!$D$7:$D$86,H27)+SUMIFS(February!$E$7:$E$86,February!$D$7:$D$86,H27)+SUMIFS(March!$E$7:$E$86,March!$D$7:$D$86,H27)+SUMIFS(April!$E$7:$E$86,April!$D$7:$D$86,H27)+SUMIFS(May!$E$7:$E$86,May!$D$7:$D$86,H27)+SUMIFS(June!$E$7:$E$86,June!$D$7:$D$86,H27)+SUMIFS(July!$E$7:$E$86,July!$D$7:$D$86,H27)+SUMIFS(August!$E$7:$E$86,August!$D$7:$D$86,H27)+SUMIFS(September!$E$7:$E$86,September!$D$7:$D$86,H27)+SUMIFS(October!$E$7:$E$86,October!$D$7:$D$86,H27)+SUMIFS(November!$E$7:$E$86,November!$D$7:$D$86,H27)+SUMIFS(December!$E$7:$E$86,December!$D$7:$D$86,H27))</f>
        <v/>
      </c>
      <c r="J27" s="11" t="str">
        <f aca="false">IF(H27="","",Setup!F30)</f>
        <v/>
      </c>
    </row>
    <row r="28" customFormat="false" ht="15" hidden="false" customHeight="false" outlineLevel="0" collapsed="false">
      <c r="H28" s="11" t="str">
        <f aca="false">IF(Setup!E31="","",Setup!E31)</f>
        <v/>
      </c>
      <c r="I28" s="22" t="str">
        <f aca="false">IF(H28="","",SUMIFS(January!$E$7:$E$86,January!$D$7:$D$86,H28)+SUMIFS(February!$E$7:$E$86,February!$D$7:$D$86,H28)+SUMIFS(March!$E$7:$E$86,March!$D$7:$D$86,H28)+SUMIFS(April!$E$7:$E$86,April!$D$7:$D$86,H28)+SUMIFS(May!$E$7:$E$86,May!$D$7:$D$86,H28)+SUMIFS(June!$E$7:$E$86,June!$D$7:$D$86,H28)+SUMIFS(July!$E$7:$E$86,July!$D$7:$D$86,H28)+SUMIFS(August!$E$7:$E$86,August!$D$7:$D$86,H28)+SUMIFS(September!$E$7:$E$86,September!$D$7:$D$86,H28)+SUMIFS(October!$E$7:$E$86,October!$D$7:$D$86,H28)+SUMIFS(November!$E$7:$E$86,November!$D$7:$D$86,H28)+SUMIFS(December!$E$7:$E$86,December!$D$7:$D$86,H28))</f>
        <v/>
      </c>
      <c r="J28" s="11" t="str">
        <f aca="false">IF(H28="","",Setup!F31)</f>
        <v/>
      </c>
    </row>
    <row r="29" customFormat="false" ht="15" hidden="false" customHeight="false" outlineLevel="0" collapsed="false">
      <c r="H29" s="11" t="str">
        <f aca="false">IF(Setup!E32="","",Setup!E32)</f>
        <v/>
      </c>
      <c r="I29" s="22" t="str">
        <f aca="false">IF(H29="","",SUMIFS(January!$E$7:$E$86,January!$D$7:$D$86,H29)+SUMIFS(February!$E$7:$E$86,February!$D$7:$D$86,H29)+SUMIFS(March!$E$7:$E$86,March!$D$7:$D$86,H29)+SUMIFS(April!$E$7:$E$86,April!$D$7:$D$86,H29)+SUMIFS(May!$E$7:$E$86,May!$D$7:$D$86,H29)+SUMIFS(June!$E$7:$E$86,June!$D$7:$D$86,H29)+SUMIFS(July!$E$7:$E$86,July!$D$7:$D$86,H29)+SUMIFS(August!$E$7:$E$86,August!$D$7:$D$86,H29)+SUMIFS(September!$E$7:$E$86,September!$D$7:$D$86,H29)+SUMIFS(October!$E$7:$E$86,October!$D$7:$D$86,H29)+SUMIFS(November!$E$7:$E$86,November!$D$7:$D$86,H29)+SUMIFS(December!$E$7:$E$86,December!$D$7:$D$86,H29))</f>
        <v/>
      </c>
      <c r="J29" s="11" t="str">
        <f aca="false">IF(H29="","",Setup!F32)</f>
        <v/>
      </c>
    </row>
    <row r="30" customFormat="false" ht="15" hidden="false" customHeight="false" outlineLevel="0" collapsed="false">
      <c r="H30" s="11" t="str">
        <f aca="false">IF(Setup!E33="","",Setup!E33)</f>
        <v/>
      </c>
      <c r="I30" s="22" t="str">
        <f aca="false">IF(H30="","",SUMIFS(January!$E$7:$E$86,January!$D$7:$D$86,H30)+SUMIFS(February!$E$7:$E$86,February!$D$7:$D$86,H30)+SUMIFS(March!$E$7:$E$86,March!$D$7:$D$86,H30)+SUMIFS(April!$E$7:$E$86,April!$D$7:$D$86,H30)+SUMIFS(May!$E$7:$E$86,May!$D$7:$D$86,H30)+SUMIFS(June!$E$7:$E$86,June!$D$7:$D$86,H30)+SUMIFS(July!$E$7:$E$86,July!$D$7:$D$86,H30)+SUMIFS(August!$E$7:$E$86,August!$D$7:$D$86,H30)+SUMIFS(September!$E$7:$E$86,September!$D$7:$D$86,H30)+SUMIFS(October!$E$7:$E$86,October!$D$7:$D$86,H30)+SUMIFS(November!$E$7:$E$86,November!$D$7:$D$86,H30)+SUMIFS(December!$E$7:$E$86,December!$D$7:$D$86,H30))</f>
        <v/>
      </c>
      <c r="J30" s="11" t="str">
        <f aca="false">IF(H30="","",Setup!F33)</f>
        <v/>
      </c>
    </row>
    <row r="31" customFormat="false" ht="15" hidden="false" customHeight="false" outlineLevel="0" collapsed="false">
      <c r="H31" s="11" t="str">
        <f aca="false">IF(Setup!E34="","",Setup!E34)</f>
        <v/>
      </c>
      <c r="I31" s="22" t="str">
        <f aca="false">IF(H31="","",SUMIFS(January!$E$7:$E$86,January!$D$7:$D$86,H31)+SUMIFS(February!$E$7:$E$86,February!$D$7:$D$86,H31)+SUMIFS(March!$E$7:$E$86,March!$D$7:$D$86,H31)+SUMIFS(April!$E$7:$E$86,April!$D$7:$D$86,H31)+SUMIFS(May!$E$7:$E$86,May!$D$7:$D$86,H31)+SUMIFS(June!$E$7:$E$86,June!$D$7:$D$86,H31)+SUMIFS(July!$E$7:$E$86,July!$D$7:$D$86,H31)+SUMIFS(August!$E$7:$E$86,August!$D$7:$D$86,H31)+SUMIFS(September!$E$7:$E$86,September!$D$7:$D$86,H31)+SUMIFS(October!$E$7:$E$86,October!$D$7:$D$86,H31)+SUMIFS(November!$E$7:$E$86,November!$D$7:$D$86,H31)+SUMIFS(December!$E$7:$E$86,December!$D$7:$D$86,H31))</f>
        <v/>
      </c>
      <c r="J31" s="11" t="str">
        <f aca="false">IF(H31="","",Setup!F34)</f>
        <v/>
      </c>
    </row>
    <row r="32" customFormat="false" ht="15" hidden="false" customHeight="false" outlineLevel="0" collapsed="false">
      <c r="H32" s="11" t="str">
        <f aca="false">IF(Setup!E35="","",Setup!E35)</f>
        <v/>
      </c>
      <c r="I32" s="22" t="str">
        <f aca="false">IF(H32="","",SUMIFS(January!$E$7:$E$86,January!$D$7:$D$86,H32)+SUMIFS(February!$E$7:$E$86,February!$D$7:$D$86,H32)+SUMIFS(March!$E$7:$E$86,March!$D$7:$D$86,H32)+SUMIFS(April!$E$7:$E$86,April!$D$7:$D$86,H32)+SUMIFS(May!$E$7:$E$86,May!$D$7:$D$86,H32)+SUMIFS(June!$E$7:$E$86,June!$D$7:$D$86,H32)+SUMIFS(July!$E$7:$E$86,July!$D$7:$D$86,H32)+SUMIFS(August!$E$7:$E$86,August!$D$7:$D$86,H32)+SUMIFS(September!$E$7:$E$86,September!$D$7:$D$86,H32)+SUMIFS(October!$E$7:$E$86,October!$D$7:$D$86,H32)+SUMIFS(November!$E$7:$E$86,November!$D$7:$D$86,H32)+SUMIFS(December!$E$7:$E$86,December!$D$7:$D$86,H32))</f>
        <v/>
      </c>
      <c r="J32" s="11" t="str">
        <f aca="false">IF(H32="","",Setup!F35)</f>
        <v/>
      </c>
    </row>
    <row r="33" customFormat="false" ht="15" hidden="false" customHeight="false" outlineLevel="0" collapsed="false">
      <c r="H33" s="11" t="str">
        <f aca="false">IF(Setup!E36="","",Setup!E36)</f>
        <v/>
      </c>
      <c r="I33" s="22" t="str">
        <f aca="false">IF(H33="","",SUMIFS(January!$E$7:$E$86,January!$D$7:$D$86,H33)+SUMIFS(February!$E$7:$E$86,February!$D$7:$D$86,H33)+SUMIFS(March!$E$7:$E$86,March!$D$7:$D$86,H33)+SUMIFS(April!$E$7:$E$86,April!$D$7:$D$86,H33)+SUMIFS(May!$E$7:$E$86,May!$D$7:$D$86,H33)+SUMIFS(June!$E$7:$E$86,June!$D$7:$D$86,H33)+SUMIFS(July!$E$7:$E$86,July!$D$7:$D$86,H33)+SUMIFS(August!$E$7:$E$86,August!$D$7:$D$86,H33)+SUMIFS(September!$E$7:$E$86,September!$D$7:$D$86,H33)+SUMIFS(October!$E$7:$E$86,October!$D$7:$D$86,H33)+SUMIFS(November!$E$7:$E$86,November!$D$7:$D$86,H33)+SUMIFS(December!$E$7:$E$86,December!$D$7:$D$86,H33))</f>
        <v/>
      </c>
      <c r="J33" s="11" t="str">
        <f aca="false">IF(H33="","",Setup!F36)</f>
        <v/>
      </c>
    </row>
    <row r="34" customFormat="false" ht="15" hidden="false" customHeight="false" outlineLevel="0" collapsed="false">
      <c r="H34" s="11" t="str">
        <f aca="false">IF(Setup!E37="","",Setup!E37)</f>
        <v/>
      </c>
      <c r="I34" s="22" t="str">
        <f aca="false">IF(H34="","",SUMIFS(January!$E$7:$E$86,January!$D$7:$D$86,H34)+SUMIFS(February!$E$7:$E$86,February!$D$7:$D$86,H34)+SUMIFS(March!$E$7:$E$86,March!$D$7:$D$86,H34)+SUMIFS(April!$E$7:$E$86,April!$D$7:$D$86,H34)+SUMIFS(May!$E$7:$E$86,May!$D$7:$D$86,H34)+SUMIFS(June!$E$7:$E$86,June!$D$7:$D$86,H34)+SUMIFS(July!$E$7:$E$86,July!$D$7:$D$86,H34)+SUMIFS(August!$E$7:$E$86,August!$D$7:$D$86,H34)+SUMIFS(September!$E$7:$E$86,September!$D$7:$D$86,H34)+SUMIFS(October!$E$7:$E$86,October!$D$7:$D$86,H34)+SUMIFS(November!$E$7:$E$86,November!$D$7:$D$86,H34)+SUMIFS(December!$E$7:$E$86,December!$D$7:$D$86,H34))</f>
        <v/>
      </c>
      <c r="J34" s="11" t="str">
        <f aca="false">IF(H34="","",Setup!F37)</f>
        <v/>
      </c>
    </row>
    <row r="35" customFormat="false" ht="15" hidden="false" customHeight="false" outlineLevel="0" collapsed="false">
      <c r="H35" s="11" t="str">
        <f aca="false">IF(Setup!E38="","",Setup!E38)</f>
        <v/>
      </c>
      <c r="I35" s="22" t="str">
        <f aca="false">IF(H35="","",SUMIFS(January!$E$7:$E$86,January!$D$7:$D$86,H35)+SUMIFS(February!$E$7:$E$86,February!$D$7:$D$86,H35)+SUMIFS(March!$E$7:$E$86,March!$D$7:$D$86,H35)+SUMIFS(April!$E$7:$E$86,April!$D$7:$D$86,H35)+SUMIFS(May!$E$7:$E$86,May!$D$7:$D$86,H35)+SUMIFS(June!$E$7:$E$86,June!$D$7:$D$86,H35)+SUMIFS(July!$E$7:$E$86,July!$D$7:$D$86,H35)+SUMIFS(August!$E$7:$E$86,August!$D$7:$D$86,H35)+SUMIFS(September!$E$7:$E$86,September!$D$7:$D$86,H35)+SUMIFS(October!$E$7:$E$86,October!$D$7:$D$86,H35)+SUMIFS(November!$E$7:$E$86,November!$D$7:$D$86,H35)+SUMIFS(December!$E$7:$E$86,December!$D$7:$D$86,H35))</f>
        <v/>
      </c>
      <c r="J35" s="11" t="str">
        <f aca="false">IF(H35="","",Setup!F38)</f>
        <v/>
      </c>
    </row>
    <row r="36" customFormat="false" ht="15" hidden="false" customHeight="false" outlineLevel="0" collapsed="false">
      <c r="H36" s="11" t="str">
        <f aca="false">IF(Setup!E39="","",Setup!E39)</f>
        <v/>
      </c>
      <c r="I36" s="22" t="str">
        <f aca="false">IF(H36="","",SUMIFS(January!$E$7:$E$86,January!$D$7:$D$86,H36)+SUMIFS(February!$E$7:$E$86,February!$D$7:$D$86,H36)+SUMIFS(March!$E$7:$E$86,March!$D$7:$D$86,H36)+SUMIFS(April!$E$7:$E$86,April!$D$7:$D$86,H36)+SUMIFS(May!$E$7:$E$86,May!$D$7:$D$86,H36)+SUMIFS(June!$E$7:$E$86,June!$D$7:$D$86,H36)+SUMIFS(July!$E$7:$E$86,July!$D$7:$D$86,H36)+SUMIFS(August!$E$7:$E$86,August!$D$7:$D$86,H36)+SUMIFS(September!$E$7:$E$86,September!$D$7:$D$86,H36)+SUMIFS(October!$E$7:$E$86,October!$D$7:$D$86,H36)+SUMIFS(November!$E$7:$E$86,November!$D$7:$D$86,H36)+SUMIFS(December!$E$7:$E$86,December!$D$7:$D$86,H36))</f>
        <v/>
      </c>
      <c r="J36" s="11" t="str">
        <f aca="false">IF(H36="","",Setup!F39)</f>
        <v/>
      </c>
    </row>
  </sheetData>
  <sheetProtection sheet="true" formatColumns="false" formatRows="false" insertRows="false" sort="false" autoFilter="false"/>
  <hyperlinks>
    <hyperlink ref="B4" r:id="rId1" location="'Start%20here'!A1" display="Start here"/>
    <hyperlink ref="C4" r:id="rId2" location="'Dashboard'!A1" display="Dashboard"/>
    <hyperlink ref="D4" r:id="rId3" location="'Setup'!A1" display="Setup"/>
    <hyperlink ref="E4" r:id="rId4" location="'January'!A1" display="Months"/>
    <hyperlink ref="F4" r:id="rId5" location="'Bills'!A1" display="Bills"/>
    <hyperlink ref="G4" r:id="rId6" location="'Paycheck%20plan'!A1" display="Paycheck"/>
    <hyperlink ref="H4" r:id="rId7" location="'Debt%20payoff'!A1" display="Debt"/>
    <hyperlink ref="I4" r:id="rId8" location="'Savings%20goals'!A1" display="Savings"/>
    <hyperlink ref="B7" r:id="rId9" location="'January'!A1" display="January"/>
    <hyperlink ref="B8" r:id="rId10" location="'February'!A1" display="February"/>
    <hyperlink ref="B9" r:id="rId11" location="'March'!A1" display="March"/>
    <hyperlink ref="B10" r:id="rId12" location="'April'!A1" display="April"/>
    <hyperlink ref="B11" r:id="rId13" location="'May'!A1" display="May"/>
    <hyperlink ref="B12" r:id="rId14" location="'June'!A1" display="June"/>
    <hyperlink ref="B13" r:id="rId15" location="'July'!A1" display="July"/>
    <hyperlink ref="B14" r:id="rId16" location="'August'!A1" display="August"/>
    <hyperlink ref="B15" r:id="rId17" location="'September'!A1" display="September"/>
    <hyperlink ref="B16" r:id="rId18" location="'October'!A1" display="October"/>
    <hyperlink ref="B17" r:id="rId19" location="'November'!A1" display="November"/>
    <hyperlink ref="B18" r:id="rId20" location="'December'!A1" display="December"/>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6"/>
    <col collapsed="false" customWidth="true" hidden="false" outlineLevel="0" max="4" min="4" style="0" width="14"/>
    <col collapsed="false" customWidth="true" hidden="false" outlineLevel="0" max="5" min="5" style="0" width="28"/>
    <col collapsed="false" customWidth="true" hidden="false" outlineLevel="0" max="6" min="6" style="0" width="14"/>
    <col collapsed="false" customWidth="true" hidden="false" outlineLevel="0" max="7" min="7" style="0" width="16"/>
    <col collapsed="false" customWidth="true" hidden="false" outlineLevel="0" max="29" min="8" style="0" width="14"/>
  </cols>
  <sheetData>
    <row r="2" customFormat="false" ht="33.75" hidden="false" customHeight="true" outlineLevel="0" collapsed="false">
      <c r="B2" s="1" t="s">
        <v>4</v>
      </c>
    </row>
    <row r="3" customFormat="false" ht="15" hidden="false" customHeight="false" outlineLevel="0" collapsed="false">
      <c r="B3" s="2" t="s">
        <v>71</v>
      </c>
    </row>
    <row r="4" customFormat="false" ht="15" hidden="false" customHeight="false" outlineLevel="0" collapsed="false">
      <c r="B4" s="3" t="s">
        <v>2</v>
      </c>
      <c r="C4" s="3" t="s">
        <v>3</v>
      </c>
      <c r="D4" s="3" t="s">
        <v>4</v>
      </c>
      <c r="E4" s="3" t="s">
        <v>5</v>
      </c>
      <c r="F4" s="3" t="s">
        <v>6</v>
      </c>
      <c r="G4" s="3" t="s">
        <v>7</v>
      </c>
      <c r="H4" s="3" t="s">
        <v>8</v>
      </c>
      <c r="I4" s="3" t="s">
        <v>9</v>
      </c>
    </row>
    <row r="6" customFormat="false" ht="15" hidden="false" customHeight="false" outlineLevel="0" collapsed="false">
      <c r="B6" s="19" t="s">
        <v>66</v>
      </c>
      <c r="C6" s="25" t="n">
        <v>2027</v>
      </c>
    </row>
    <row r="7" customFormat="false" ht="15" hidden="false" customHeight="false" outlineLevel="0" collapsed="false">
      <c r="B7" s="19" t="s">
        <v>72</v>
      </c>
      <c r="C7" s="11" t="s">
        <v>73</v>
      </c>
    </row>
    <row r="9" customFormat="false" ht="21.75" hidden="false" customHeight="true" outlineLevel="0" collapsed="false">
      <c r="B9" s="10" t="s">
        <v>74</v>
      </c>
      <c r="C9" s="10" t="s">
        <v>75</v>
      </c>
      <c r="E9" s="10" t="s">
        <v>64</v>
      </c>
      <c r="F9" s="10" t="s">
        <v>68</v>
      </c>
      <c r="G9" s="10" t="s">
        <v>76</v>
      </c>
    </row>
    <row r="10" customFormat="false" ht="15" hidden="false" customHeight="false" outlineLevel="0" collapsed="false">
      <c r="B10" s="17" t="s">
        <v>7</v>
      </c>
      <c r="C10" s="26" t="n">
        <v>3600</v>
      </c>
      <c r="E10" s="17" t="s">
        <v>77</v>
      </c>
      <c r="F10" s="17" t="s">
        <v>69</v>
      </c>
      <c r="G10" s="26" t="n">
        <v>1400</v>
      </c>
    </row>
    <row r="11" customFormat="false" ht="15" hidden="false" customHeight="false" outlineLevel="0" collapsed="false">
      <c r="B11" s="17" t="s">
        <v>78</v>
      </c>
      <c r="C11" s="26" t="n">
        <v>300</v>
      </c>
      <c r="E11" s="17" t="s">
        <v>79</v>
      </c>
      <c r="F11" s="17" t="s">
        <v>69</v>
      </c>
      <c r="G11" s="26" t="n">
        <v>180</v>
      </c>
    </row>
    <row r="12" customFormat="false" ht="15" hidden="false" customHeight="false" outlineLevel="0" collapsed="false">
      <c r="B12" s="17"/>
      <c r="C12" s="26"/>
      <c r="E12" s="17" t="s">
        <v>80</v>
      </c>
      <c r="F12" s="17" t="s">
        <v>69</v>
      </c>
      <c r="G12" s="26" t="n">
        <v>500</v>
      </c>
    </row>
    <row r="13" customFormat="false" ht="15" hidden="false" customHeight="false" outlineLevel="0" collapsed="false">
      <c r="B13" s="17"/>
      <c r="C13" s="26"/>
      <c r="E13" s="17" t="s">
        <v>81</v>
      </c>
      <c r="F13" s="17" t="s">
        <v>69</v>
      </c>
      <c r="G13" s="26" t="n">
        <v>220</v>
      </c>
    </row>
    <row r="14" customFormat="false" ht="15" hidden="false" customHeight="false" outlineLevel="0" collapsed="false">
      <c r="B14" s="17"/>
      <c r="C14" s="26"/>
      <c r="E14" s="17" t="s">
        <v>82</v>
      </c>
      <c r="F14" s="17" t="s">
        <v>69</v>
      </c>
      <c r="G14" s="26" t="n">
        <v>160</v>
      </c>
    </row>
    <row r="15" customFormat="false" ht="15" hidden="false" customHeight="false" outlineLevel="0" collapsed="false">
      <c r="B15" s="17"/>
      <c r="C15" s="26"/>
      <c r="E15" s="17" t="s">
        <v>83</v>
      </c>
      <c r="F15" s="17" t="s">
        <v>69</v>
      </c>
      <c r="G15" s="26" t="n">
        <v>95</v>
      </c>
    </row>
    <row r="16" customFormat="false" ht="15" hidden="false" customHeight="false" outlineLevel="0" collapsed="false">
      <c r="B16" s="17"/>
      <c r="C16" s="26"/>
      <c r="E16" s="17" t="s">
        <v>84</v>
      </c>
      <c r="F16" s="17" t="s">
        <v>69</v>
      </c>
      <c r="G16" s="26" t="n">
        <v>60</v>
      </c>
    </row>
    <row r="17" customFormat="false" ht="15" hidden="false" customHeight="false" outlineLevel="0" collapsed="false">
      <c r="B17" s="17"/>
      <c r="C17" s="26"/>
      <c r="E17" s="17" t="s">
        <v>85</v>
      </c>
      <c r="F17" s="17" t="s">
        <v>70</v>
      </c>
      <c r="G17" s="26" t="n">
        <v>150</v>
      </c>
    </row>
    <row r="18" customFormat="false" ht="15" hidden="false" customHeight="false" outlineLevel="0" collapsed="false">
      <c r="B18" s="19" t="s">
        <v>86</v>
      </c>
      <c r="C18" s="23" t="n">
        <f aca="false">SUM(C10:C17)</f>
        <v>3900</v>
      </c>
      <c r="E18" s="17" t="s">
        <v>87</v>
      </c>
      <c r="F18" s="17" t="s">
        <v>70</v>
      </c>
      <c r="G18" s="26" t="n">
        <v>120</v>
      </c>
    </row>
    <row r="19" customFormat="false" ht="15" hidden="false" customHeight="false" outlineLevel="0" collapsed="false">
      <c r="E19" s="17" t="s">
        <v>88</v>
      </c>
      <c r="F19" s="17" t="s">
        <v>70</v>
      </c>
      <c r="G19" s="26" t="n">
        <v>45</v>
      </c>
    </row>
    <row r="20" customFormat="false" ht="15" hidden="false" customHeight="false" outlineLevel="0" collapsed="false">
      <c r="E20" s="17" t="s">
        <v>89</v>
      </c>
      <c r="F20" s="17" t="s">
        <v>70</v>
      </c>
      <c r="G20" s="26" t="n">
        <v>100</v>
      </c>
    </row>
    <row r="21" customFormat="false" ht="15" hidden="false" customHeight="false" outlineLevel="0" collapsed="false">
      <c r="E21" s="17" t="s">
        <v>90</v>
      </c>
      <c r="F21" s="17" t="s">
        <v>70</v>
      </c>
      <c r="G21" s="26" t="n">
        <v>40</v>
      </c>
    </row>
    <row r="22" customFormat="false" ht="15" hidden="false" customHeight="false" outlineLevel="0" collapsed="false">
      <c r="E22" s="17" t="s">
        <v>91</v>
      </c>
      <c r="F22" s="17" t="s">
        <v>70</v>
      </c>
      <c r="G22" s="26" t="n">
        <v>50</v>
      </c>
    </row>
    <row r="23" customFormat="false" ht="15" hidden="false" customHeight="false" outlineLevel="0" collapsed="false">
      <c r="E23" s="17" t="s">
        <v>92</v>
      </c>
      <c r="F23" s="17" t="s">
        <v>9</v>
      </c>
      <c r="G23" s="26" t="n">
        <v>200</v>
      </c>
    </row>
    <row r="24" customFormat="false" ht="15" hidden="false" customHeight="false" outlineLevel="0" collapsed="false">
      <c r="E24" s="17" t="s">
        <v>93</v>
      </c>
      <c r="F24" s="17" t="s">
        <v>9</v>
      </c>
      <c r="G24" s="26" t="n">
        <v>100</v>
      </c>
    </row>
    <row r="25" customFormat="false" ht="15" hidden="false" customHeight="false" outlineLevel="0" collapsed="false">
      <c r="E25" s="17" t="s">
        <v>94</v>
      </c>
      <c r="F25" s="17" t="s">
        <v>9</v>
      </c>
      <c r="G25" s="26" t="n">
        <v>150</v>
      </c>
    </row>
    <row r="26" customFormat="false" ht="15" hidden="false" customHeight="false" outlineLevel="0" collapsed="false">
      <c r="E26" s="17" t="s">
        <v>95</v>
      </c>
      <c r="F26" s="17" t="s">
        <v>8</v>
      </c>
      <c r="G26" s="26" t="n">
        <v>150</v>
      </c>
    </row>
    <row r="27" customFormat="false" ht="15" hidden="false" customHeight="false" outlineLevel="0" collapsed="false">
      <c r="E27" s="17" t="s">
        <v>96</v>
      </c>
      <c r="F27" s="17" t="s">
        <v>8</v>
      </c>
      <c r="G27" s="26" t="n">
        <v>180</v>
      </c>
    </row>
    <row r="28" customFormat="false" ht="15" hidden="false" customHeight="false" outlineLevel="0" collapsed="false">
      <c r="E28" s="17"/>
      <c r="F28" s="17"/>
      <c r="G28" s="26"/>
    </row>
    <row r="29" customFormat="false" ht="15" hidden="false" customHeight="false" outlineLevel="0" collapsed="false">
      <c r="E29" s="17"/>
      <c r="F29" s="17"/>
      <c r="G29" s="26"/>
    </row>
    <row r="30" customFormat="false" ht="15" hidden="false" customHeight="false" outlineLevel="0" collapsed="false">
      <c r="E30" s="17"/>
      <c r="F30" s="17"/>
      <c r="G30" s="26"/>
    </row>
    <row r="31" customFormat="false" ht="15" hidden="false" customHeight="false" outlineLevel="0" collapsed="false">
      <c r="E31" s="17"/>
      <c r="F31" s="17"/>
      <c r="G31" s="26"/>
    </row>
    <row r="32" customFormat="false" ht="15" hidden="false" customHeight="false" outlineLevel="0" collapsed="false">
      <c r="E32" s="17"/>
      <c r="F32" s="17"/>
      <c r="G32" s="26"/>
    </row>
    <row r="33" customFormat="false" ht="15" hidden="false" customHeight="false" outlineLevel="0" collapsed="false">
      <c r="E33" s="17"/>
      <c r="F33" s="17"/>
      <c r="G33" s="26"/>
    </row>
    <row r="34" customFormat="false" ht="15" hidden="false" customHeight="false" outlineLevel="0" collapsed="false">
      <c r="E34" s="17"/>
      <c r="F34" s="17"/>
      <c r="G34" s="26"/>
    </row>
    <row r="35" customFormat="false" ht="15" hidden="false" customHeight="false" outlineLevel="0" collapsed="false">
      <c r="E35" s="17"/>
      <c r="F35" s="17"/>
      <c r="G35" s="26"/>
    </row>
    <row r="36" customFormat="false" ht="15" hidden="false" customHeight="false" outlineLevel="0" collapsed="false">
      <c r="E36" s="17"/>
      <c r="F36" s="17"/>
      <c r="G36" s="26"/>
    </row>
    <row r="37" customFormat="false" ht="15" hidden="false" customHeight="false" outlineLevel="0" collapsed="false">
      <c r="E37" s="17"/>
      <c r="F37" s="17"/>
      <c r="G37" s="26"/>
    </row>
    <row r="38" customFormat="false" ht="15" hidden="false" customHeight="false" outlineLevel="0" collapsed="false">
      <c r="E38" s="17"/>
      <c r="F38" s="17"/>
      <c r="G38" s="26"/>
    </row>
    <row r="39" customFormat="false" ht="15" hidden="false" customHeight="false" outlineLevel="0" collapsed="false">
      <c r="E39" s="17"/>
      <c r="F39" s="17"/>
      <c r="G39" s="26"/>
    </row>
    <row r="40" customFormat="false" ht="15" hidden="false" customHeight="false" outlineLevel="0" collapsed="false">
      <c r="E40" s="19" t="s">
        <v>97</v>
      </c>
      <c r="G40" s="23" t="n">
        <f aca="false">SUM(G10:G39)</f>
        <v>3900</v>
      </c>
    </row>
    <row r="41" customFormat="false" ht="15" hidden="false" customHeight="false" outlineLevel="0" collapsed="false">
      <c r="E41" s="19" t="s">
        <v>98</v>
      </c>
      <c r="G41" s="23" t="n">
        <f aca="false">C18-G40</f>
        <v>0</v>
      </c>
    </row>
  </sheetData>
  <sheetProtection sheet="true" formatColumns="false" formatRows="false" insertRows="false" sort="false" autoFilter="false"/>
  <conditionalFormatting sqref="G41">
    <cfRule type="cellIs" priority="2" operator="lessThan" aboveAverage="0" equalAverage="0" bottom="0" percent="0" rank="0" text="" dxfId="1">
      <formula>0</formula>
    </cfRule>
  </conditionalFormatting>
  <dataValidations count="1">
    <dataValidation allowBlank="true" errorStyle="stop" operator="between" showDropDown="false" showErrorMessage="false" showInputMessage="false" sqref="F10:F39" type="list">
      <formula1>"Needs,Wants,Savings,Debt"</formula1>
      <formula2>0</formula2>
    </dataValidation>
  </dataValidations>
  <hyperlinks>
    <hyperlink ref="B4" r:id="rId1" location="'Start%20here'!A1" display="Start here"/>
    <hyperlink ref="C4" r:id="rId2" location="'Dashboard'!A1" display="Dashboard"/>
    <hyperlink ref="D4" r:id="rId3" location="'Setup'!A1" display="Setup"/>
    <hyperlink ref="E4" r:id="rId4" location="'January'!A1" display="Months"/>
    <hyperlink ref="F4" r:id="rId5" location="'Bills'!A1" display="Bills"/>
    <hyperlink ref="G4" r:id="rId6" location="'Paycheck%20plan'!A1" display="Paycheck"/>
    <hyperlink ref="H4" r:id="rId7" location="'Debt%20payoff'!A1" display="Debt"/>
    <hyperlink ref="I4" r:id="rId8" location="'Savings%20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K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10"/>
    <col collapsed="false" customWidth="true" hidden="false" outlineLevel="0" max="29" min="12" style="0" width="14"/>
  </cols>
  <sheetData>
    <row r="2" customFormat="false" ht="33.75" hidden="false" customHeight="true" outlineLevel="0" collapsed="false">
      <c r="B2" s="1" t="s">
        <v>12</v>
      </c>
    </row>
    <row r="3" customFormat="false" ht="15" hidden="false" customHeight="false" outlineLevel="0" collapsed="false">
      <c r="B3" s="2" t="s">
        <v>99</v>
      </c>
    </row>
    <row r="4" customFormat="false" ht="15" hidden="false" customHeight="false" outlineLevel="0" collapsed="false">
      <c r="B4" s="3" t="s">
        <v>2</v>
      </c>
      <c r="C4" s="3" t="s">
        <v>3</v>
      </c>
      <c r="D4" s="3" t="s">
        <v>4</v>
      </c>
      <c r="E4" s="3" t="s">
        <v>5</v>
      </c>
      <c r="F4" s="3" t="s">
        <v>6</v>
      </c>
      <c r="G4" s="3" t="s">
        <v>7</v>
      </c>
      <c r="H4" s="3" t="s">
        <v>8</v>
      </c>
      <c r="I4" s="3" t="s">
        <v>9</v>
      </c>
    </row>
    <row r="6" customFormat="false" ht="21.75" hidden="false" customHeight="true" outlineLevel="0" collapsed="false">
      <c r="B6" s="10" t="s">
        <v>100</v>
      </c>
      <c r="C6" s="10" t="s">
        <v>101</v>
      </c>
      <c r="D6" s="10" t="s">
        <v>64</v>
      </c>
      <c r="E6" s="10" t="s">
        <v>102</v>
      </c>
      <c r="G6" s="27" t="s">
        <v>103</v>
      </c>
      <c r="H6" s="28" t="n">
        <f aca="false">Setup!$C$18</f>
        <v>3900</v>
      </c>
      <c r="I6" s="29" t="s">
        <v>104</v>
      </c>
    </row>
    <row r="7" customFormat="false" ht="15" hidden="false" customHeight="false" outlineLevel="0" collapsed="false">
      <c r="B7" s="30" t="n">
        <v>46390</v>
      </c>
      <c r="C7" s="17" t="s">
        <v>105</v>
      </c>
      <c r="D7" s="17" t="s">
        <v>77</v>
      </c>
      <c r="E7" s="26" t="n">
        <v>1200</v>
      </c>
      <c r="G7" s="31" t="s">
        <v>61</v>
      </c>
      <c r="H7" s="32" t="n">
        <f aca="false">SUM(E7:E86)</f>
        <v>2112.09</v>
      </c>
    </row>
    <row r="8" customFormat="false" ht="15" hidden="false" customHeight="false" outlineLevel="0" collapsed="false">
      <c r="B8" s="30" t="n">
        <v>46391</v>
      </c>
      <c r="C8" s="17" t="s">
        <v>106</v>
      </c>
      <c r="D8" s="17" t="s">
        <v>80</v>
      </c>
      <c r="E8" s="26" t="n">
        <v>112.4</v>
      </c>
      <c r="G8" s="31" t="s">
        <v>62</v>
      </c>
      <c r="H8" s="32" t="n">
        <f aca="false">H6-H7</f>
        <v>1787.91</v>
      </c>
    </row>
    <row r="9" customFormat="false" ht="15" hidden="false" customHeight="false" outlineLevel="0" collapsed="false">
      <c r="B9" s="30" t="n">
        <v>46393</v>
      </c>
      <c r="C9" s="17" t="s">
        <v>107</v>
      </c>
      <c r="D9" s="17" t="s">
        <v>81</v>
      </c>
      <c r="E9" s="26" t="n">
        <v>60</v>
      </c>
      <c r="G9" s="31" t="s">
        <v>108</v>
      </c>
      <c r="H9" s="32" t="n">
        <f aca="false">SUMPRODUCT(SUMIFS($E$7:$E$86,$D$7:$D$86,Setup!$E$10:$E$39)*((Setup!$F$10:$F$39="Savings")+(Setup!$F$10:$F$39="Debt")))</f>
        <v>350</v>
      </c>
    </row>
    <row r="10" customFormat="false" ht="15" hidden="false" customHeight="false" outlineLevel="0" collapsed="false">
      <c r="B10" s="30" t="n">
        <v>46396</v>
      </c>
      <c r="C10" s="17" t="s">
        <v>109</v>
      </c>
      <c r="D10" s="17" t="s">
        <v>85</v>
      </c>
      <c r="E10" s="26" t="n">
        <v>38.5</v>
      </c>
    </row>
    <row r="11" customFormat="false" ht="21.75" hidden="false" customHeight="true" outlineLevel="0" collapsed="false">
      <c r="B11" s="30" t="n">
        <v>46398</v>
      </c>
      <c r="C11" s="17" t="s">
        <v>106</v>
      </c>
      <c r="D11" s="17" t="s">
        <v>80</v>
      </c>
      <c r="E11" s="26" t="n">
        <v>96.2</v>
      </c>
      <c r="G11" s="10" t="s">
        <v>64</v>
      </c>
      <c r="H11" s="10" t="s">
        <v>110</v>
      </c>
      <c r="I11" s="10" t="s">
        <v>61</v>
      </c>
      <c r="J11" s="10" t="s">
        <v>111</v>
      </c>
      <c r="K11" s="10" t="s">
        <v>112</v>
      </c>
    </row>
    <row r="12" customFormat="false" ht="15" hidden="false" customHeight="false" outlineLevel="0" collapsed="false">
      <c r="B12" s="30" t="n">
        <v>46401</v>
      </c>
      <c r="C12" s="17" t="s">
        <v>113</v>
      </c>
      <c r="D12" s="17" t="s">
        <v>83</v>
      </c>
      <c r="E12" s="26" t="n">
        <v>55</v>
      </c>
      <c r="G12" s="11" t="str">
        <f aca="false">IF(Setup!E10="","",Setup!E10)</f>
        <v>Rent or mortgage</v>
      </c>
      <c r="H12" s="22" t="n">
        <f aca="false">IF(G12="","",Setup!G10)</f>
        <v>1400</v>
      </c>
      <c r="I12" s="22" t="n">
        <f aca="false">IF(G12="","",SUMIFS($E$7:$E$86,$D$7:$D$86,G12))</f>
        <v>1200</v>
      </c>
      <c r="J12" s="22" t="n">
        <f aca="false">IF(G12="","",H12-I12)</f>
        <v>200</v>
      </c>
      <c r="K12" s="33" t="n">
        <f aca="false">IF(OR(G12="",H12=0),"",I12/H12)</f>
        <v>0.857142857142857</v>
      </c>
    </row>
    <row r="13" customFormat="false" ht="15" hidden="false" customHeight="false" outlineLevel="0" collapsed="false">
      <c r="B13" s="30" t="n">
        <v>46402</v>
      </c>
      <c r="C13" s="17" t="s">
        <v>114</v>
      </c>
      <c r="D13" s="17" t="s">
        <v>92</v>
      </c>
      <c r="E13" s="26" t="n">
        <v>200</v>
      </c>
      <c r="G13" s="11" t="str">
        <f aca="false">IF(Setup!E11="","",Setup!E11)</f>
        <v>Utilities</v>
      </c>
      <c r="H13" s="22" t="n">
        <f aca="false">IF(G13="","",Setup!G11)</f>
        <v>180</v>
      </c>
      <c r="I13" s="22" t="n">
        <f aca="false">IF(G13="","",SUMIFS($E$7:$E$86,$D$7:$D$86,G13))</f>
        <v>0</v>
      </c>
      <c r="J13" s="22" t="n">
        <f aca="false">IF(G13="","",H13-I13)</f>
        <v>180</v>
      </c>
      <c r="K13" s="33" t="n">
        <f aca="false">IF(OR(G13="",H13=0),"",I13/H13)</f>
        <v>0</v>
      </c>
    </row>
    <row r="14" customFormat="false" ht="15" hidden="false" customHeight="false" outlineLevel="0" collapsed="false">
      <c r="B14" s="30" t="n">
        <v>46405</v>
      </c>
      <c r="C14" s="17" t="s">
        <v>115</v>
      </c>
      <c r="D14" s="17" t="s">
        <v>88</v>
      </c>
      <c r="E14" s="26" t="n">
        <v>15.99</v>
      </c>
      <c r="G14" s="11" t="str">
        <f aca="false">IF(Setup!E12="","",Setup!E12)</f>
        <v>Groceries</v>
      </c>
      <c r="H14" s="22" t="n">
        <f aca="false">IF(G14="","",Setup!G12)</f>
        <v>500</v>
      </c>
      <c r="I14" s="22" t="n">
        <f aca="false">IF(G14="","",SUMIFS($E$7:$E$86,$D$7:$D$86,G14))</f>
        <v>208.6</v>
      </c>
      <c r="J14" s="22" t="n">
        <f aca="false">IF(G14="","",H14-I14)</f>
        <v>291.4</v>
      </c>
      <c r="K14" s="33" t="n">
        <f aca="false">IF(OR(G14="",H14=0),"",I14/H14)</f>
        <v>0.4172</v>
      </c>
    </row>
    <row r="15" customFormat="false" ht="15" hidden="false" customHeight="false" outlineLevel="0" collapsed="false">
      <c r="B15" s="30" t="n">
        <v>46408</v>
      </c>
      <c r="C15" s="17" t="s">
        <v>116</v>
      </c>
      <c r="D15" s="17" t="s">
        <v>95</v>
      </c>
      <c r="E15" s="26" t="n">
        <v>150</v>
      </c>
      <c r="G15" s="11" t="str">
        <f aca="false">IF(Setup!E13="","",Setup!E13)</f>
        <v>Transport</v>
      </c>
      <c r="H15" s="22" t="n">
        <f aca="false">IF(G15="","",Setup!G13)</f>
        <v>220</v>
      </c>
      <c r="I15" s="22" t="n">
        <f aca="false">IF(G15="","",SUMIFS($E$7:$E$86,$D$7:$D$86,G15))</f>
        <v>60</v>
      </c>
      <c r="J15" s="22" t="n">
        <f aca="false">IF(G15="","",H15-I15)</f>
        <v>160</v>
      </c>
      <c r="K15" s="33" t="n">
        <f aca="false">IF(OR(G15="",H15=0),"",I15/H15)</f>
        <v>0.272727272727273</v>
      </c>
    </row>
    <row r="16" customFormat="false" ht="15" hidden="false" customHeight="false" outlineLevel="0" collapsed="false">
      <c r="B16" s="30" t="n">
        <v>46411</v>
      </c>
      <c r="C16" s="17" t="s">
        <v>117</v>
      </c>
      <c r="D16" s="17" t="s">
        <v>89</v>
      </c>
      <c r="E16" s="26" t="n">
        <v>120</v>
      </c>
      <c r="G16" s="11" t="str">
        <f aca="false">IF(Setup!E14="","",Setup!E14)</f>
        <v>Insurance</v>
      </c>
      <c r="H16" s="22" t="n">
        <f aca="false">IF(G16="","",Setup!G14)</f>
        <v>160</v>
      </c>
      <c r="I16" s="22" t="n">
        <f aca="false">IF(G16="","",SUMIFS($E$7:$E$86,$D$7:$D$86,G16))</f>
        <v>0</v>
      </c>
      <c r="J16" s="22" t="n">
        <f aca="false">IF(G16="","",H16-I16)</f>
        <v>160</v>
      </c>
      <c r="K16" s="33" t="n">
        <f aca="false">IF(OR(G16="",H16=0),"",I16/H16)</f>
        <v>0</v>
      </c>
    </row>
    <row r="17" customFormat="false" ht="15" hidden="false" customHeight="false" outlineLevel="0" collapsed="false">
      <c r="B17" s="30" t="n">
        <v>46412</v>
      </c>
      <c r="C17" s="17" t="s">
        <v>118</v>
      </c>
      <c r="D17" s="17" t="s">
        <v>87</v>
      </c>
      <c r="E17" s="26" t="n">
        <v>64</v>
      </c>
      <c r="G17" s="11" t="str">
        <f aca="false">IF(Setup!E15="","",Setup!E15)</f>
        <v>Phone and internet</v>
      </c>
      <c r="H17" s="22" t="n">
        <f aca="false">IF(G17="","",Setup!G15)</f>
        <v>95</v>
      </c>
      <c r="I17" s="22" t="n">
        <f aca="false">IF(G17="","",SUMIFS($E$7:$E$86,$D$7:$D$86,G17))</f>
        <v>55</v>
      </c>
      <c r="J17" s="22" t="n">
        <f aca="false">IF(G17="","",H17-I17)</f>
        <v>40</v>
      </c>
      <c r="K17" s="33" t="n">
        <f aca="false">IF(OR(G17="",H17=0),"",I17/H17)</f>
        <v>0.578947368421053</v>
      </c>
    </row>
    <row r="18" customFormat="false" ht="15" hidden="false" customHeight="false" outlineLevel="0" collapsed="false">
      <c r="B18" s="30"/>
      <c r="C18" s="17"/>
      <c r="D18" s="17"/>
      <c r="E18" s="26"/>
      <c r="G18" s="11" t="str">
        <f aca="false">IF(Setup!E16="","",Setup!E16)</f>
        <v>Medical</v>
      </c>
      <c r="H18" s="22" t="n">
        <f aca="false">IF(G18="","",Setup!G16)</f>
        <v>60</v>
      </c>
      <c r="I18" s="22" t="n">
        <f aca="false">IF(G18="","",SUMIFS($E$7:$E$86,$D$7:$D$86,G18))</f>
        <v>0</v>
      </c>
      <c r="J18" s="22" t="n">
        <f aca="false">IF(G18="","",H18-I18)</f>
        <v>60</v>
      </c>
      <c r="K18" s="33" t="n">
        <f aca="false">IF(OR(G18="",H18=0),"",I18/H18)</f>
        <v>0</v>
      </c>
    </row>
    <row r="19" customFormat="false" ht="15" hidden="false" customHeight="false" outlineLevel="0" collapsed="false">
      <c r="B19" s="30"/>
      <c r="C19" s="17"/>
      <c r="D19" s="17"/>
      <c r="E19" s="26"/>
      <c r="G19" s="11" t="str">
        <f aca="false">IF(Setup!E17="","",Setup!E17)</f>
        <v>Eating out</v>
      </c>
      <c r="H19" s="22" t="n">
        <f aca="false">IF(G19="","",Setup!G17)</f>
        <v>150</v>
      </c>
      <c r="I19" s="22" t="n">
        <f aca="false">IF(G19="","",SUMIFS($E$7:$E$86,$D$7:$D$86,G19))</f>
        <v>38.5</v>
      </c>
      <c r="J19" s="22" t="n">
        <f aca="false">IF(G19="","",H19-I19)</f>
        <v>111.5</v>
      </c>
      <c r="K19" s="33" t="n">
        <f aca="false">IF(OR(G19="",H19=0),"",I19/H19)</f>
        <v>0.256666666666667</v>
      </c>
    </row>
    <row r="20" customFormat="false" ht="15" hidden="false" customHeight="false" outlineLevel="0" collapsed="false">
      <c r="B20" s="30"/>
      <c r="C20" s="17"/>
      <c r="D20" s="17"/>
      <c r="E20" s="26"/>
      <c r="G20" s="11" t="str">
        <f aca="false">IF(Setup!E18="","",Setup!E18)</f>
        <v>Shopping</v>
      </c>
      <c r="H20" s="22" t="n">
        <f aca="false">IF(G20="","",Setup!G18)</f>
        <v>120</v>
      </c>
      <c r="I20" s="22" t="n">
        <f aca="false">IF(G20="","",SUMIFS($E$7:$E$86,$D$7:$D$86,G20))</f>
        <v>64</v>
      </c>
      <c r="J20" s="22" t="n">
        <f aca="false">IF(G20="","",H20-I20)</f>
        <v>56</v>
      </c>
      <c r="K20" s="33" t="n">
        <f aca="false">IF(OR(G20="",H20=0),"",I20/H20)</f>
        <v>0.533333333333333</v>
      </c>
    </row>
    <row r="21" customFormat="false" ht="15" hidden="false" customHeight="false" outlineLevel="0" collapsed="false">
      <c r="B21" s="30"/>
      <c r="C21" s="17"/>
      <c r="D21" s="17"/>
      <c r="E21" s="26"/>
      <c r="G21" s="11" t="str">
        <f aca="false">IF(Setup!E19="","",Setup!E19)</f>
        <v>Subscriptions</v>
      </c>
      <c r="H21" s="22" t="n">
        <f aca="false">IF(G21="","",Setup!G19)</f>
        <v>45</v>
      </c>
      <c r="I21" s="22" t="n">
        <f aca="false">IF(G21="","",SUMIFS($E$7:$E$86,$D$7:$D$86,G21))</f>
        <v>15.99</v>
      </c>
      <c r="J21" s="22" t="n">
        <f aca="false">IF(G21="","",H21-I21)</f>
        <v>29.01</v>
      </c>
      <c r="K21" s="33" t="n">
        <f aca="false">IF(OR(G21="",H21=0),"",I21/H21)</f>
        <v>0.355333333333333</v>
      </c>
    </row>
    <row r="22" customFormat="false" ht="15" hidden="false" customHeight="false" outlineLevel="0" collapsed="false">
      <c r="B22" s="30"/>
      <c r="C22" s="17"/>
      <c r="D22" s="17"/>
      <c r="E22" s="26"/>
      <c r="G22" s="11" t="str">
        <f aca="false">IF(Setup!E20="","",Setup!E20)</f>
        <v>Fun</v>
      </c>
      <c r="H22" s="22" t="n">
        <f aca="false">IF(G22="","",Setup!G20)</f>
        <v>100</v>
      </c>
      <c r="I22" s="22" t="n">
        <f aca="false">IF(G22="","",SUMIFS($E$7:$E$86,$D$7:$D$86,G22))</f>
        <v>120</v>
      </c>
      <c r="J22" s="22" t="n">
        <f aca="false">IF(G22="","",H22-I22)</f>
        <v>-20</v>
      </c>
      <c r="K22" s="33" t="n">
        <f aca="false">IF(OR(G22="",H22=0),"",I22/H22)</f>
        <v>1.2</v>
      </c>
    </row>
    <row r="23" customFormat="false" ht="15" hidden="false" customHeight="false" outlineLevel="0" collapsed="false">
      <c r="B23" s="30"/>
      <c r="C23" s="17"/>
      <c r="D23" s="17"/>
      <c r="E23" s="26"/>
      <c r="G23" s="11" t="str">
        <f aca="false">IF(Setup!E21="","",Setup!E21)</f>
        <v>Gifts</v>
      </c>
      <c r="H23" s="22" t="n">
        <f aca="false">IF(G23="","",Setup!G21)</f>
        <v>40</v>
      </c>
      <c r="I23" s="22" t="n">
        <f aca="false">IF(G23="","",SUMIFS($E$7:$E$86,$D$7:$D$86,G23))</f>
        <v>0</v>
      </c>
      <c r="J23" s="22" t="n">
        <f aca="false">IF(G23="","",H23-I23)</f>
        <v>40</v>
      </c>
      <c r="K23" s="33" t="n">
        <f aca="false">IF(OR(G23="",H23=0),"",I23/H23)</f>
        <v>0</v>
      </c>
    </row>
    <row r="24" customFormat="false" ht="15" hidden="false" customHeight="false" outlineLevel="0" collapsed="false">
      <c r="B24" s="30"/>
      <c r="C24" s="17"/>
      <c r="D24" s="17"/>
      <c r="E24" s="26"/>
      <c r="G24" s="11" t="str">
        <f aca="false">IF(Setup!E22="","",Setup!E22)</f>
        <v>Personal care</v>
      </c>
      <c r="H24" s="22" t="n">
        <f aca="false">IF(G24="","",Setup!G22)</f>
        <v>50</v>
      </c>
      <c r="I24" s="22" t="n">
        <f aca="false">IF(G24="","",SUMIFS($E$7:$E$86,$D$7:$D$86,G24))</f>
        <v>0</v>
      </c>
      <c r="J24" s="22" t="n">
        <f aca="false">IF(G24="","",H24-I24)</f>
        <v>50</v>
      </c>
      <c r="K24" s="33" t="n">
        <f aca="false">IF(OR(G24="",H24=0),"",I24/H24)</f>
        <v>0</v>
      </c>
    </row>
    <row r="25" customFormat="false" ht="15" hidden="false" customHeight="false" outlineLevel="0" collapsed="false">
      <c r="B25" s="30"/>
      <c r="C25" s="17"/>
      <c r="D25" s="17"/>
      <c r="E25" s="26"/>
      <c r="G25" s="11" t="str">
        <f aca="false">IF(Setup!E23="","",Setup!E23)</f>
        <v>Emergency fund</v>
      </c>
      <c r="H25" s="22" t="n">
        <f aca="false">IF(G25="","",Setup!G23)</f>
        <v>200</v>
      </c>
      <c r="I25" s="22" t="n">
        <f aca="false">IF(G25="","",SUMIFS($E$7:$E$86,$D$7:$D$86,G25))</f>
        <v>200</v>
      </c>
      <c r="J25" s="22" t="n">
        <f aca="false">IF(G25="","",H25-I25)</f>
        <v>0</v>
      </c>
      <c r="K25" s="33" t="n">
        <f aca="false">IF(OR(G25="",H25=0),"",I25/H25)</f>
        <v>1</v>
      </c>
    </row>
    <row r="26" customFormat="false" ht="15" hidden="false" customHeight="false" outlineLevel="0" collapsed="false">
      <c r="B26" s="30"/>
      <c r="C26" s="17"/>
      <c r="D26" s="17"/>
      <c r="E26" s="26"/>
      <c r="G26" s="11" t="str">
        <f aca="false">IF(Setup!E24="","",Setup!E24)</f>
        <v>Sinking funds</v>
      </c>
      <c r="H26" s="22" t="n">
        <f aca="false">IF(G26="","",Setup!G24)</f>
        <v>100</v>
      </c>
      <c r="I26" s="22" t="n">
        <f aca="false">IF(G26="","",SUMIFS($E$7:$E$86,$D$7:$D$86,G26))</f>
        <v>0</v>
      </c>
      <c r="J26" s="22" t="n">
        <f aca="false">IF(G26="","",H26-I26)</f>
        <v>100</v>
      </c>
      <c r="K26" s="33" t="n">
        <f aca="false">IF(OR(G26="",H26=0),"",I26/H26)</f>
        <v>0</v>
      </c>
    </row>
    <row r="27" customFormat="false" ht="15" hidden="false" customHeight="false" outlineLevel="0" collapsed="false">
      <c r="B27" s="30"/>
      <c r="C27" s="17"/>
      <c r="D27" s="17"/>
      <c r="E27" s="26"/>
      <c r="G27" s="11" t="str">
        <f aca="false">IF(Setup!E25="","",Setup!E25)</f>
        <v>Retirement</v>
      </c>
      <c r="H27" s="22" t="n">
        <f aca="false">IF(G27="","",Setup!G25)</f>
        <v>150</v>
      </c>
      <c r="I27" s="22" t="n">
        <f aca="false">IF(G27="","",SUMIFS($E$7:$E$86,$D$7:$D$86,G27))</f>
        <v>0</v>
      </c>
      <c r="J27" s="22" t="n">
        <f aca="false">IF(G27="","",H27-I27)</f>
        <v>150</v>
      </c>
      <c r="K27" s="33" t="n">
        <f aca="false">IF(OR(G27="",H27=0),"",I27/H27)</f>
        <v>0</v>
      </c>
    </row>
    <row r="28" customFormat="false" ht="15" hidden="false" customHeight="false" outlineLevel="0" collapsed="false">
      <c r="B28" s="30"/>
      <c r="C28" s="17"/>
      <c r="D28" s="17"/>
      <c r="E28" s="26"/>
      <c r="G28" s="11" t="str">
        <f aca="false">IF(Setup!E26="","",Setup!E26)</f>
        <v>Credit card</v>
      </c>
      <c r="H28" s="22" t="n">
        <f aca="false">IF(G28="","",Setup!G26)</f>
        <v>150</v>
      </c>
      <c r="I28" s="22" t="n">
        <f aca="false">IF(G28="","",SUMIFS($E$7:$E$86,$D$7:$D$86,G28))</f>
        <v>150</v>
      </c>
      <c r="J28" s="22" t="n">
        <f aca="false">IF(G28="","",H28-I28)</f>
        <v>0</v>
      </c>
      <c r="K28" s="33" t="n">
        <f aca="false">IF(OR(G28="",H28=0),"",I28/H28)</f>
        <v>1</v>
      </c>
    </row>
    <row r="29" customFormat="false" ht="15" hidden="false" customHeight="false" outlineLevel="0" collapsed="false">
      <c r="B29" s="30"/>
      <c r="C29" s="17"/>
      <c r="D29" s="17"/>
      <c r="E29" s="26"/>
      <c r="G29" s="11" t="str">
        <f aca="false">IF(Setup!E27="","",Setup!E27)</f>
        <v>Student loan</v>
      </c>
      <c r="H29" s="22" t="n">
        <f aca="false">IF(G29="","",Setup!G27)</f>
        <v>180</v>
      </c>
      <c r="I29" s="22" t="n">
        <f aca="false">IF(G29="","",SUMIFS($E$7:$E$86,$D$7:$D$86,G29))</f>
        <v>0</v>
      </c>
      <c r="J29" s="22" t="n">
        <f aca="false">IF(G29="","",H29-I29)</f>
        <v>180</v>
      </c>
      <c r="K29" s="33" t="n">
        <f aca="false">IF(OR(G29="",H29=0),"",I29/H29)</f>
        <v>0</v>
      </c>
    </row>
    <row r="30" customFormat="false" ht="15" hidden="false" customHeight="false" outlineLevel="0" collapsed="false">
      <c r="B30" s="30"/>
      <c r="C30" s="17"/>
      <c r="D30" s="17"/>
      <c r="E30" s="26"/>
      <c r="G30" s="11" t="str">
        <f aca="false">IF(Setup!E28="","",Setup!E28)</f>
        <v/>
      </c>
      <c r="H30" s="22" t="str">
        <f aca="false">IF(G30="","",Setup!G28)</f>
        <v/>
      </c>
      <c r="I30" s="22" t="str">
        <f aca="false">IF(G30="","",SUMIFS($E$7:$E$86,$D$7:$D$86,G30))</f>
        <v/>
      </c>
      <c r="J30" s="22" t="str">
        <f aca="false">IF(G30="","",H30-I30)</f>
        <v/>
      </c>
      <c r="K30" s="33" t="str">
        <f aca="false">IF(OR(G30="",H30=0),"",I30/H30)</f>
        <v/>
      </c>
    </row>
    <row r="31" customFormat="false" ht="15" hidden="false" customHeight="false" outlineLevel="0" collapsed="false">
      <c r="B31" s="30"/>
      <c r="C31" s="17"/>
      <c r="D31" s="17"/>
      <c r="E31" s="26"/>
      <c r="G31" s="11" t="str">
        <f aca="false">IF(Setup!E29="","",Setup!E29)</f>
        <v/>
      </c>
      <c r="H31" s="22" t="str">
        <f aca="false">IF(G31="","",Setup!G29)</f>
        <v/>
      </c>
      <c r="I31" s="22" t="str">
        <f aca="false">IF(G31="","",SUMIFS($E$7:$E$86,$D$7:$D$86,G31))</f>
        <v/>
      </c>
      <c r="J31" s="22" t="str">
        <f aca="false">IF(G31="","",H31-I31)</f>
        <v/>
      </c>
      <c r="K31" s="33" t="str">
        <f aca="false">IF(OR(G31="",H31=0),"",I31/H31)</f>
        <v/>
      </c>
    </row>
    <row r="32" customFormat="false" ht="15" hidden="false" customHeight="false" outlineLevel="0" collapsed="false">
      <c r="B32" s="30"/>
      <c r="C32" s="17"/>
      <c r="D32" s="17"/>
      <c r="E32" s="26"/>
      <c r="G32" s="11" t="str">
        <f aca="false">IF(Setup!E30="","",Setup!E30)</f>
        <v/>
      </c>
      <c r="H32" s="22" t="str">
        <f aca="false">IF(G32="","",Setup!G30)</f>
        <v/>
      </c>
      <c r="I32" s="22" t="str">
        <f aca="false">IF(G32="","",SUMIFS($E$7:$E$86,$D$7:$D$86,G32))</f>
        <v/>
      </c>
      <c r="J32" s="22" t="str">
        <f aca="false">IF(G32="","",H32-I32)</f>
        <v/>
      </c>
      <c r="K32" s="33" t="str">
        <f aca="false">IF(OR(G32="",H32=0),"",I32/H32)</f>
        <v/>
      </c>
    </row>
    <row r="33" customFormat="false" ht="15" hidden="false" customHeight="false" outlineLevel="0" collapsed="false">
      <c r="B33" s="30"/>
      <c r="C33" s="17"/>
      <c r="D33" s="17"/>
      <c r="E33" s="26"/>
      <c r="G33" s="11" t="str">
        <f aca="false">IF(Setup!E31="","",Setup!E31)</f>
        <v/>
      </c>
      <c r="H33" s="22" t="str">
        <f aca="false">IF(G33="","",Setup!G31)</f>
        <v/>
      </c>
      <c r="I33" s="22" t="str">
        <f aca="false">IF(G33="","",SUMIFS($E$7:$E$86,$D$7:$D$86,G33))</f>
        <v/>
      </c>
      <c r="J33" s="22" t="str">
        <f aca="false">IF(G33="","",H33-I33)</f>
        <v/>
      </c>
      <c r="K33" s="33" t="str">
        <f aca="false">IF(OR(G33="",H33=0),"",I33/H33)</f>
        <v/>
      </c>
    </row>
    <row r="34" customFormat="false" ht="15" hidden="false" customHeight="false" outlineLevel="0" collapsed="false">
      <c r="B34" s="30"/>
      <c r="C34" s="17"/>
      <c r="D34" s="17"/>
      <c r="E34" s="26"/>
      <c r="G34" s="11" t="str">
        <f aca="false">IF(Setup!E32="","",Setup!E32)</f>
        <v/>
      </c>
      <c r="H34" s="22" t="str">
        <f aca="false">IF(G34="","",Setup!G32)</f>
        <v/>
      </c>
      <c r="I34" s="22" t="str">
        <f aca="false">IF(G34="","",SUMIFS($E$7:$E$86,$D$7:$D$86,G34))</f>
        <v/>
      </c>
      <c r="J34" s="22" t="str">
        <f aca="false">IF(G34="","",H34-I34)</f>
        <v/>
      </c>
      <c r="K34" s="33" t="str">
        <f aca="false">IF(OR(G34="",H34=0),"",I34/H34)</f>
        <v/>
      </c>
    </row>
    <row r="35" customFormat="false" ht="15" hidden="false" customHeight="false" outlineLevel="0" collapsed="false">
      <c r="B35" s="30"/>
      <c r="C35" s="17"/>
      <c r="D35" s="17"/>
      <c r="E35" s="26"/>
      <c r="G35" s="11" t="str">
        <f aca="false">IF(Setup!E33="","",Setup!E33)</f>
        <v/>
      </c>
      <c r="H35" s="22" t="str">
        <f aca="false">IF(G35="","",Setup!G33)</f>
        <v/>
      </c>
      <c r="I35" s="22" t="str">
        <f aca="false">IF(G35="","",SUMIFS($E$7:$E$86,$D$7:$D$86,G35))</f>
        <v/>
      </c>
      <c r="J35" s="22" t="str">
        <f aca="false">IF(G35="","",H35-I35)</f>
        <v/>
      </c>
      <c r="K35" s="33" t="str">
        <f aca="false">IF(OR(G35="",H35=0),"",I35/H35)</f>
        <v/>
      </c>
    </row>
    <row r="36" customFormat="false" ht="15" hidden="false" customHeight="false" outlineLevel="0" collapsed="false">
      <c r="B36" s="30"/>
      <c r="C36" s="17"/>
      <c r="D36" s="17"/>
      <c r="E36" s="26"/>
      <c r="G36" s="11" t="str">
        <f aca="false">IF(Setup!E34="","",Setup!E34)</f>
        <v/>
      </c>
      <c r="H36" s="22" t="str">
        <f aca="false">IF(G36="","",Setup!G34)</f>
        <v/>
      </c>
      <c r="I36" s="22" t="str">
        <f aca="false">IF(G36="","",SUMIFS($E$7:$E$86,$D$7:$D$86,G36))</f>
        <v/>
      </c>
      <c r="J36" s="22" t="str">
        <f aca="false">IF(G36="","",H36-I36)</f>
        <v/>
      </c>
      <c r="K36" s="33" t="str">
        <f aca="false">IF(OR(G36="",H36=0),"",I36/H36)</f>
        <v/>
      </c>
    </row>
    <row r="37" customFormat="false" ht="15" hidden="false" customHeight="false" outlineLevel="0" collapsed="false">
      <c r="B37" s="30"/>
      <c r="C37" s="17"/>
      <c r="D37" s="17"/>
      <c r="E37" s="26"/>
      <c r="G37" s="11" t="str">
        <f aca="false">IF(Setup!E35="","",Setup!E35)</f>
        <v/>
      </c>
      <c r="H37" s="22" t="str">
        <f aca="false">IF(G37="","",Setup!G35)</f>
        <v/>
      </c>
      <c r="I37" s="22" t="str">
        <f aca="false">IF(G37="","",SUMIFS($E$7:$E$86,$D$7:$D$86,G37))</f>
        <v/>
      </c>
      <c r="J37" s="22" t="str">
        <f aca="false">IF(G37="","",H37-I37)</f>
        <v/>
      </c>
      <c r="K37" s="33" t="str">
        <f aca="false">IF(OR(G37="",H37=0),"",I37/H37)</f>
        <v/>
      </c>
    </row>
    <row r="38" customFormat="false" ht="15" hidden="false" customHeight="false" outlineLevel="0" collapsed="false">
      <c r="B38" s="30"/>
      <c r="C38" s="17"/>
      <c r="D38" s="17"/>
      <c r="E38" s="26"/>
      <c r="G38" s="11" t="str">
        <f aca="false">IF(Setup!E36="","",Setup!E36)</f>
        <v/>
      </c>
      <c r="H38" s="22" t="str">
        <f aca="false">IF(G38="","",Setup!G36)</f>
        <v/>
      </c>
      <c r="I38" s="22" t="str">
        <f aca="false">IF(G38="","",SUMIFS($E$7:$E$86,$D$7:$D$86,G38))</f>
        <v/>
      </c>
      <c r="J38" s="22" t="str">
        <f aca="false">IF(G38="","",H38-I38)</f>
        <v/>
      </c>
      <c r="K38" s="33" t="str">
        <f aca="false">IF(OR(G38="",H38=0),"",I38/H38)</f>
        <v/>
      </c>
    </row>
    <row r="39" customFormat="false" ht="15" hidden="false" customHeight="false" outlineLevel="0" collapsed="false">
      <c r="B39" s="30"/>
      <c r="C39" s="17"/>
      <c r="D39" s="17"/>
      <c r="E39" s="26"/>
      <c r="G39" s="11" t="str">
        <f aca="false">IF(Setup!E37="","",Setup!E37)</f>
        <v/>
      </c>
      <c r="H39" s="22" t="str">
        <f aca="false">IF(G39="","",Setup!G37)</f>
        <v/>
      </c>
      <c r="I39" s="22" t="str">
        <f aca="false">IF(G39="","",SUMIFS($E$7:$E$86,$D$7:$D$86,G39))</f>
        <v/>
      </c>
      <c r="J39" s="22" t="str">
        <f aca="false">IF(G39="","",H39-I39)</f>
        <v/>
      </c>
      <c r="K39" s="33" t="str">
        <f aca="false">IF(OR(G39="",H39=0),"",I39/H39)</f>
        <v/>
      </c>
    </row>
    <row r="40" customFormat="false" ht="15" hidden="false" customHeight="false" outlineLevel="0" collapsed="false">
      <c r="B40" s="30"/>
      <c r="C40" s="17"/>
      <c r="D40" s="17"/>
      <c r="E40" s="26"/>
      <c r="G40" s="11" t="str">
        <f aca="false">IF(Setup!E38="","",Setup!E38)</f>
        <v/>
      </c>
      <c r="H40" s="22" t="str">
        <f aca="false">IF(G40="","",Setup!G38)</f>
        <v/>
      </c>
      <c r="I40" s="22" t="str">
        <f aca="false">IF(G40="","",SUMIFS($E$7:$E$86,$D$7:$D$86,G40))</f>
        <v/>
      </c>
      <c r="J40" s="22" t="str">
        <f aca="false">IF(G40="","",H40-I40)</f>
        <v/>
      </c>
      <c r="K40" s="33" t="str">
        <f aca="false">IF(OR(G40="",H40=0),"",I40/H40)</f>
        <v/>
      </c>
    </row>
    <row r="41" customFormat="false" ht="15" hidden="false" customHeight="false" outlineLevel="0" collapsed="false">
      <c r="B41" s="30"/>
      <c r="C41" s="17"/>
      <c r="D41" s="17"/>
      <c r="E41" s="26"/>
      <c r="G41" s="11" t="str">
        <f aca="false">IF(Setup!E39="","",Setup!E39)</f>
        <v/>
      </c>
      <c r="H41" s="22" t="str">
        <f aca="false">IF(G41="","",Setup!G39)</f>
        <v/>
      </c>
      <c r="I41" s="22" t="str">
        <f aca="false">IF(G41="","",SUMIFS($E$7:$E$86,$D$7:$D$86,G41))</f>
        <v/>
      </c>
      <c r="J41" s="22" t="str">
        <f aca="false">IF(G41="","",H41-I41)</f>
        <v/>
      </c>
      <c r="K41" s="33" t="str">
        <f aca="false">IF(OR(G41="",H41=0),"",I41/H41)</f>
        <v/>
      </c>
    </row>
    <row r="42" customFormat="false" ht="15" hidden="false" customHeight="false" outlineLevel="0" collapsed="false">
      <c r="B42" s="30"/>
      <c r="C42" s="17"/>
      <c r="D42" s="17"/>
      <c r="E42" s="26"/>
    </row>
    <row r="43" customFormat="false" ht="15" hidden="false" customHeight="false" outlineLevel="0" collapsed="false">
      <c r="B43" s="30"/>
      <c r="C43" s="17"/>
      <c r="D43" s="17"/>
      <c r="E43" s="26"/>
    </row>
    <row r="44" customFormat="false" ht="15" hidden="false" customHeight="false" outlineLevel="0" collapsed="false">
      <c r="B44" s="30"/>
      <c r="C44" s="17"/>
      <c r="D44" s="17"/>
      <c r="E44" s="26"/>
    </row>
    <row r="45" customFormat="false" ht="15" hidden="false" customHeight="false" outlineLevel="0" collapsed="false">
      <c r="B45" s="30"/>
      <c r="C45" s="17"/>
      <c r="D45" s="17"/>
      <c r="E45" s="26"/>
    </row>
    <row r="46" customFormat="false" ht="15" hidden="false" customHeight="false" outlineLevel="0" collapsed="false">
      <c r="B46" s="30"/>
      <c r="C46" s="17"/>
      <c r="D46" s="17"/>
      <c r="E46" s="26"/>
    </row>
    <row r="47" customFormat="false" ht="15" hidden="false" customHeight="false" outlineLevel="0" collapsed="false">
      <c r="B47" s="30"/>
      <c r="C47" s="17"/>
      <c r="D47" s="17"/>
      <c r="E47" s="26"/>
    </row>
    <row r="48" customFormat="false" ht="15" hidden="false" customHeight="false" outlineLevel="0" collapsed="false">
      <c r="B48" s="30"/>
      <c r="C48" s="17"/>
      <c r="D48" s="17"/>
      <c r="E48" s="26"/>
    </row>
    <row r="49" customFormat="false" ht="15" hidden="false" customHeight="false" outlineLevel="0" collapsed="false">
      <c r="B49" s="30"/>
      <c r="C49" s="17"/>
      <c r="D49" s="17"/>
      <c r="E49" s="26"/>
    </row>
    <row r="50" customFormat="false" ht="15" hidden="false" customHeight="false" outlineLevel="0" collapsed="false">
      <c r="B50" s="30"/>
      <c r="C50" s="17"/>
      <c r="D50" s="17"/>
      <c r="E50" s="26"/>
    </row>
    <row r="51" customFormat="false" ht="15" hidden="false" customHeight="false" outlineLevel="0" collapsed="false">
      <c r="B51" s="30"/>
      <c r="C51" s="17"/>
      <c r="D51" s="17"/>
      <c r="E51" s="26"/>
    </row>
    <row r="52" customFormat="false" ht="15" hidden="false" customHeight="false" outlineLevel="0" collapsed="false">
      <c r="B52" s="30"/>
      <c r="C52" s="17"/>
      <c r="D52" s="17"/>
      <c r="E52" s="26"/>
    </row>
    <row r="53" customFormat="false" ht="15" hidden="false" customHeight="false" outlineLevel="0" collapsed="false">
      <c r="B53" s="30"/>
      <c r="C53" s="17"/>
      <c r="D53" s="17"/>
      <c r="E53" s="26"/>
    </row>
    <row r="54" customFormat="false" ht="15" hidden="false" customHeight="false" outlineLevel="0" collapsed="false">
      <c r="B54" s="30"/>
      <c r="C54" s="17"/>
      <c r="D54" s="17"/>
      <c r="E54" s="26"/>
    </row>
    <row r="55" customFormat="false" ht="15" hidden="false" customHeight="false" outlineLevel="0" collapsed="false">
      <c r="B55" s="30"/>
      <c r="C55" s="17"/>
      <c r="D55" s="17"/>
      <c r="E55" s="26"/>
    </row>
    <row r="56" customFormat="false" ht="15" hidden="false" customHeight="false" outlineLevel="0" collapsed="false">
      <c r="B56" s="30"/>
      <c r="C56" s="17"/>
      <c r="D56" s="17"/>
      <c r="E56" s="26"/>
    </row>
    <row r="57" customFormat="false" ht="15" hidden="false" customHeight="false" outlineLevel="0" collapsed="false">
      <c r="B57" s="30"/>
      <c r="C57" s="17"/>
      <c r="D57" s="17"/>
      <c r="E57" s="26"/>
    </row>
    <row r="58" customFormat="false" ht="15" hidden="false" customHeight="false" outlineLevel="0" collapsed="false">
      <c r="B58" s="30"/>
      <c r="C58" s="17"/>
      <c r="D58" s="17"/>
      <c r="E58" s="26"/>
    </row>
    <row r="59" customFormat="false" ht="15" hidden="false" customHeight="false" outlineLevel="0" collapsed="false">
      <c r="B59" s="30"/>
      <c r="C59" s="17"/>
      <c r="D59" s="17"/>
      <c r="E59" s="26"/>
    </row>
    <row r="60" customFormat="false" ht="15" hidden="false" customHeight="false" outlineLevel="0" collapsed="false">
      <c r="B60" s="30"/>
      <c r="C60" s="17"/>
      <c r="D60" s="17"/>
      <c r="E60" s="26"/>
    </row>
    <row r="61" customFormat="false" ht="15" hidden="false" customHeight="false" outlineLevel="0" collapsed="false">
      <c r="B61" s="30"/>
      <c r="C61" s="17"/>
      <c r="D61" s="17"/>
      <c r="E61" s="26"/>
    </row>
    <row r="62" customFormat="false" ht="15" hidden="false" customHeight="false" outlineLevel="0" collapsed="false">
      <c r="B62" s="30"/>
      <c r="C62" s="17"/>
      <c r="D62" s="17"/>
      <c r="E62" s="26"/>
    </row>
    <row r="63" customFormat="false" ht="15" hidden="false" customHeight="false" outlineLevel="0" collapsed="false">
      <c r="B63" s="30"/>
      <c r="C63" s="17"/>
      <c r="D63" s="17"/>
      <c r="E63" s="26"/>
    </row>
    <row r="64" customFormat="false" ht="15" hidden="false" customHeight="false" outlineLevel="0" collapsed="false">
      <c r="B64" s="30"/>
      <c r="C64" s="17"/>
      <c r="D64" s="17"/>
      <c r="E64" s="26"/>
    </row>
    <row r="65" customFormat="false" ht="15" hidden="false" customHeight="false" outlineLevel="0" collapsed="false">
      <c r="B65" s="30"/>
      <c r="C65" s="17"/>
      <c r="D65" s="17"/>
      <c r="E65" s="26"/>
    </row>
    <row r="66" customFormat="false" ht="15" hidden="false" customHeight="false" outlineLevel="0" collapsed="false">
      <c r="B66" s="30"/>
      <c r="C66" s="17"/>
      <c r="D66" s="17"/>
      <c r="E66" s="26"/>
    </row>
    <row r="67" customFormat="false" ht="15" hidden="false" customHeight="false" outlineLevel="0" collapsed="false">
      <c r="B67" s="30"/>
      <c r="C67" s="17"/>
      <c r="D67" s="17"/>
      <c r="E67" s="26"/>
    </row>
    <row r="68" customFormat="false" ht="15" hidden="false" customHeight="false" outlineLevel="0" collapsed="false">
      <c r="B68" s="30"/>
      <c r="C68" s="17"/>
      <c r="D68" s="17"/>
      <c r="E68" s="26"/>
    </row>
    <row r="69" customFormat="false" ht="15" hidden="false" customHeight="false" outlineLevel="0" collapsed="false">
      <c r="B69" s="30"/>
      <c r="C69" s="17"/>
      <c r="D69" s="17"/>
      <c r="E69" s="26"/>
    </row>
    <row r="70" customFormat="false" ht="15" hidden="false" customHeight="false" outlineLevel="0" collapsed="false">
      <c r="B70" s="30"/>
      <c r="C70" s="17"/>
      <c r="D70" s="17"/>
      <c r="E70" s="26"/>
    </row>
    <row r="71" customFormat="false" ht="15" hidden="false" customHeight="false" outlineLevel="0" collapsed="false">
      <c r="B71" s="30"/>
      <c r="C71" s="17"/>
      <c r="D71" s="17"/>
      <c r="E71" s="26"/>
    </row>
    <row r="72" customFormat="false" ht="15" hidden="false" customHeight="false" outlineLevel="0" collapsed="false">
      <c r="B72" s="30"/>
      <c r="C72" s="17"/>
      <c r="D72" s="17"/>
      <c r="E72" s="26"/>
    </row>
    <row r="73" customFormat="false" ht="15" hidden="false" customHeight="false" outlineLevel="0" collapsed="false">
      <c r="B73" s="30"/>
      <c r="C73" s="17"/>
      <c r="D73" s="17"/>
      <c r="E73" s="26"/>
    </row>
    <row r="74" customFormat="false" ht="15" hidden="false" customHeight="false" outlineLevel="0" collapsed="false">
      <c r="B74" s="30"/>
      <c r="C74" s="17"/>
      <c r="D74" s="17"/>
      <c r="E74" s="26"/>
    </row>
    <row r="75" customFormat="false" ht="15" hidden="false" customHeight="false" outlineLevel="0" collapsed="false">
      <c r="B75" s="30"/>
      <c r="C75" s="17"/>
      <c r="D75" s="17"/>
      <c r="E75" s="26"/>
    </row>
    <row r="76" customFormat="false" ht="15" hidden="false" customHeight="false" outlineLevel="0" collapsed="false">
      <c r="B76" s="30"/>
      <c r="C76" s="17"/>
      <c r="D76" s="17"/>
      <c r="E76" s="26"/>
    </row>
    <row r="77" customFormat="false" ht="15" hidden="false" customHeight="false" outlineLevel="0" collapsed="false">
      <c r="B77" s="30"/>
      <c r="C77" s="17"/>
      <c r="D77" s="17"/>
      <c r="E77" s="26"/>
    </row>
    <row r="78" customFormat="false" ht="15" hidden="false" customHeight="false" outlineLevel="0" collapsed="false">
      <c r="B78" s="30"/>
      <c r="C78" s="17"/>
      <c r="D78" s="17"/>
      <c r="E78" s="26"/>
    </row>
    <row r="79" customFormat="false" ht="15" hidden="false" customHeight="false" outlineLevel="0" collapsed="false">
      <c r="B79" s="30"/>
      <c r="C79" s="17"/>
      <c r="D79" s="17"/>
      <c r="E79" s="26"/>
    </row>
    <row r="80" customFormat="false" ht="15" hidden="false" customHeight="false" outlineLevel="0" collapsed="false">
      <c r="B80" s="30"/>
      <c r="C80" s="17"/>
      <c r="D80" s="17"/>
      <c r="E80" s="26"/>
    </row>
    <row r="81" customFormat="false" ht="15" hidden="false" customHeight="false" outlineLevel="0" collapsed="false">
      <c r="B81" s="30"/>
      <c r="C81" s="17"/>
      <c r="D81" s="17"/>
      <c r="E81" s="26"/>
    </row>
    <row r="82" customFormat="false" ht="15" hidden="false" customHeight="false" outlineLevel="0" collapsed="false">
      <c r="B82" s="30"/>
      <c r="C82" s="17"/>
      <c r="D82" s="17"/>
      <c r="E82" s="26"/>
    </row>
    <row r="83" customFormat="false" ht="15" hidden="false" customHeight="false" outlineLevel="0" collapsed="false">
      <c r="B83" s="30"/>
      <c r="C83" s="17"/>
      <c r="D83" s="17"/>
      <c r="E83" s="26"/>
    </row>
    <row r="84" customFormat="false" ht="15" hidden="false" customHeight="false" outlineLevel="0" collapsed="false">
      <c r="B84" s="30"/>
      <c r="C84" s="17"/>
      <c r="D84" s="17"/>
      <c r="E84" s="26"/>
    </row>
    <row r="85" customFormat="false" ht="15" hidden="false" customHeight="false" outlineLevel="0" collapsed="false">
      <c r="B85" s="30"/>
      <c r="C85" s="17"/>
      <c r="D85" s="17"/>
      <c r="E85" s="26"/>
    </row>
    <row r="86" customFormat="false" ht="15" hidden="false" customHeight="false" outlineLevel="0" collapsed="false">
      <c r="B86" s="30"/>
      <c r="C86" s="17"/>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K12:K41">
    <cfRule type="dataBar" priority="4">
      <dataBar showValue="1" minLength="10" maxLength="90">
        <cfvo type="num" val="0"/>
        <cfvo type="num" val="1"/>
        <color rgb="FF2F6F5E"/>
      </dataBar>
      <extLst>
        <ext xmlns:x14="http://schemas.microsoft.com/office/spreadsheetml/2009/9/main" uri="{B025F937-C7B1-47D3-B67F-A62EFF666E3E}">
          <x14:id>{74F8BB22-BC17-49AD-9A67-46D4F496E72D}</x14:id>
        </ext>
      </extLst>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r:id="rId1" location="'Start%20here'!A1" display="Start here"/>
    <hyperlink ref="C4" r:id="rId2" location="'Dashboard'!A1" display="Dashboard"/>
    <hyperlink ref="D4" r:id="rId3" location="'Setup'!A1" display="Setup"/>
    <hyperlink ref="E4" r:id="rId4" location="'January'!A1" display="Months"/>
    <hyperlink ref="F4" r:id="rId5" location="'Bills'!A1" display="Bills"/>
    <hyperlink ref="G4" r:id="rId6" location="'Paycheck%20plan'!A1" display="Paycheck"/>
    <hyperlink ref="H4" r:id="rId7" location="'Debt%20payoff'!A1" display="Debt"/>
    <hyperlink ref="I4" r:id="rId8" location="'Savings%20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74F8BB22-BC17-49AD-9A67-46D4F496E72D}">
            <x14:dataBar minLength="10" maxLength="90" axisPosition="none" gradient="true">
              <x14:cfvo type="num">
                <xm:f>0</xm:f>
              </x14:cfvo>
              <x14:cfvo type="num">
                <xm:f>1</xm:f>
              </x14:cfvo>
              <x14:negativeFillColor rgb="FF2F6F5E"/>
              <x14:axisColor rgb="FF000000"/>
            </x14:dataBar>
          </x14:cfRule>
          <xm:sqref>K12:K41</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K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10"/>
    <col collapsed="false" customWidth="true" hidden="false" outlineLevel="0" max="29" min="12" style="0" width="14"/>
  </cols>
  <sheetData>
    <row r="2" customFormat="false" ht="33.75" hidden="false" customHeight="true" outlineLevel="0" collapsed="false">
      <c r="B2" s="1" t="s">
        <v>15</v>
      </c>
    </row>
    <row r="3" customFormat="false" ht="15" hidden="false" customHeight="false" outlineLevel="0" collapsed="false">
      <c r="B3" s="2" t="s">
        <v>99</v>
      </c>
    </row>
    <row r="4" customFormat="false" ht="15" hidden="false" customHeight="false" outlineLevel="0" collapsed="false">
      <c r="B4" s="3" t="s">
        <v>2</v>
      </c>
      <c r="C4" s="3" t="s">
        <v>3</v>
      </c>
      <c r="D4" s="3" t="s">
        <v>4</v>
      </c>
      <c r="E4" s="3" t="s">
        <v>5</v>
      </c>
      <c r="F4" s="3" t="s">
        <v>6</v>
      </c>
      <c r="G4" s="3" t="s">
        <v>7</v>
      </c>
      <c r="H4" s="3" t="s">
        <v>8</v>
      </c>
      <c r="I4" s="3" t="s">
        <v>9</v>
      </c>
    </row>
    <row r="6" customFormat="false" ht="21.75" hidden="false" customHeight="true" outlineLevel="0" collapsed="false">
      <c r="B6" s="10" t="s">
        <v>100</v>
      </c>
      <c r="C6" s="10" t="s">
        <v>101</v>
      </c>
      <c r="D6" s="10" t="s">
        <v>64</v>
      </c>
      <c r="E6" s="10" t="s">
        <v>102</v>
      </c>
      <c r="G6" s="27" t="s">
        <v>103</v>
      </c>
      <c r="H6" s="28" t="n">
        <f aca="false">Setup!$C$18</f>
        <v>3900</v>
      </c>
      <c r="I6" s="29" t="s">
        <v>104</v>
      </c>
    </row>
    <row r="7" customFormat="false" ht="15" hidden="false" customHeight="false" outlineLevel="0" collapsed="false">
      <c r="B7" s="30"/>
      <c r="C7" s="17"/>
      <c r="D7" s="17"/>
      <c r="E7" s="26"/>
      <c r="G7" s="31" t="s">
        <v>61</v>
      </c>
      <c r="H7" s="32" t="n">
        <f aca="false">SUM(E7:E86)</f>
        <v>0</v>
      </c>
    </row>
    <row r="8" customFormat="false" ht="15" hidden="false" customHeight="false" outlineLevel="0" collapsed="false">
      <c r="B8" s="30"/>
      <c r="C8" s="17"/>
      <c r="D8" s="17"/>
      <c r="E8" s="26"/>
      <c r="G8" s="31" t="s">
        <v>62</v>
      </c>
      <c r="H8" s="32" t="n">
        <f aca="false">H6-H7</f>
        <v>3900</v>
      </c>
    </row>
    <row r="9" customFormat="false" ht="15" hidden="false" customHeight="false" outlineLevel="0" collapsed="false">
      <c r="B9" s="30"/>
      <c r="C9" s="17"/>
      <c r="D9" s="17"/>
      <c r="E9" s="26"/>
      <c r="G9" s="31" t="s">
        <v>108</v>
      </c>
      <c r="H9" s="32" t="n">
        <f aca="false">SUMPRODUCT(SUMIFS($E$7:$E$86,$D$7:$D$86,Setup!$E$10:$E$39)*((Setup!$F$10:$F$39="Savings")+(Setup!$F$10:$F$39="Debt")))</f>
        <v>0</v>
      </c>
    </row>
    <row r="10" customFormat="false" ht="15" hidden="false" customHeight="false" outlineLevel="0" collapsed="false">
      <c r="B10" s="30"/>
      <c r="C10" s="17"/>
      <c r="D10" s="17"/>
      <c r="E10" s="26"/>
    </row>
    <row r="11" customFormat="false" ht="21.75" hidden="false" customHeight="true" outlineLevel="0" collapsed="false">
      <c r="B11" s="30"/>
      <c r="C11" s="17"/>
      <c r="D11" s="17"/>
      <c r="E11" s="26"/>
      <c r="G11" s="10" t="s">
        <v>64</v>
      </c>
      <c r="H11" s="10" t="s">
        <v>110</v>
      </c>
      <c r="I11" s="10" t="s">
        <v>61</v>
      </c>
      <c r="J11" s="10" t="s">
        <v>111</v>
      </c>
      <c r="K11" s="10" t="s">
        <v>112</v>
      </c>
    </row>
    <row r="12" customFormat="false" ht="15" hidden="false" customHeight="false" outlineLevel="0" collapsed="false">
      <c r="B12" s="30"/>
      <c r="C12" s="17"/>
      <c r="D12" s="17"/>
      <c r="E12" s="26"/>
      <c r="G12" s="11" t="str">
        <f aca="false">IF(Setup!E10="","",Setup!E10)</f>
        <v>Rent or mortgage</v>
      </c>
      <c r="H12" s="22" t="n">
        <f aca="false">IF(G12="","",Setup!G10)</f>
        <v>1400</v>
      </c>
      <c r="I12" s="22" t="n">
        <f aca="false">IF(G12="","",SUMIFS($E$7:$E$86,$D$7:$D$86,G12))</f>
        <v>0</v>
      </c>
      <c r="J12" s="22" t="n">
        <f aca="false">IF(G12="","",H12-I12)</f>
        <v>1400</v>
      </c>
      <c r="K12" s="33" t="n">
        <f aca="false">IF(OR(G12="",H12=0),"",I12/H12)</f>
        <v>0</v>
      </c>
    </row>
    <row r="13" customFormat="false" ht="15" hidden="false" customHeight="false" outlineLevel="0" collapsed="false">
      <c r="B13" s="30"/>
      <c r="C13" s="17"/>
      <c r="D13" s="17"/>
      <c r="E13" s="26"/>
      <c r="G13" s="11" t="str">
        <f aca="false">IF(Setup!E11="","",Setup!E11)</f>
        <v>Utilities</v>
      </c>
      <c r="H13" s="22" t="n">
        <f aca="false">IF(G13="","",Setup!G11)</f>
        <v>180</v>
      </c>
      <c r="I13" s="22" t="n">
        <f aca="false">IF(G13="","",SUMIFS($E$7:$E$86,$D$7:$D$86,G13))</f>
        <v>0</v>
      </c>
      <c r="J13" s="22" t="n">
        <f aca="false">IF(G13="","",H13-I13)</f>
        <v>180</v>
      </c>
      <c r="K13" s="33" t="n">
        <f aca="false">IF(OR(G13="",H13=0),"",I13/H13)</f>
        <v>0</v>
      </c>
    </row>
    <row r="14" customFormat="false" ht="15" hidden="false" customHeight="false" outlineLevel="0" collapsed="false">
      <c r="B14" s="30"/>
      <c r="C14" s="17"/>
      <c r="D14" s="17"/>
      <c r="E14" s="26"/>
      <c r="G14" s="11" t="str">
        <f aca="false">IF(Setup!E12="","",Setup!E12)</f>
        <v>Groceries</v>
      </c>
      <c r="H14" s="22" t="n">
        <f aca="false">IF(G14="","",Setup!G12)</f>
        <v>500</v>
      </c>
      <c r="I14" s="22" t="n">
        <f aca="false">IF(G14="","",SUMIFS($E$7:$E$86,$D$7:$D$86,G14))</f>
        <v>0</v>
      </c>
      <c r="J14" s="22" t="n">
        <f aca="false">IF(G14="","",H14-I14)</f>
        <v>500</v>
      </c>
      <c r="K14" s="33" t="n">
        <f aca="false">IF(OR(G14="",H14=0),"",I14/H14)</f>
        <v>0</v>
      </c>
    </row>
    <row r="15" customFormat="false" ht="15" hidden="false" customHeight="false" outlineLevel="0" collapsed="false">
      <c r="B15" s="30"/>
      <c r="C15" s="17"/>
      <c r="D15" s="17"/>
      <c r="E15" s="26"/>
      <c r="G15" s="11" t="str">
        <f aca="false">IF(Setup!E13="","",Setup!E13)</f>
        <v>Transport</v>
      </c>
      <c r="H15" s="22" t="n">
        <f aca="false">IF(G15="","",Setup!G13)</f>
        <v>220</v>
      </c>
      <c r="I15" s="22" t="n">
        <f aca="false">IF(G15="","",SUMIFS($E$7:$E$86,$D$7:$D$86,G15))</f>
        <v>0</v>
      </c>
      <c r="J15" s="22" t="n">
        <f aca="false">IF(G15="","",H15-I15)</f>
        <v>220</v>
      </c>
      <c r="K15" s="33" t="n">
        <f aca="false">IF(OR(G15="",H15=0),"",I15/H15)</f>
        <v>0</v>
      </c>
    </row>
    <row r="16" customFormat="false" ht="15" hidden="false" customHeight="false" outlineLevel="0" collapsed="false">
      <c r="B16" s="30"/>
      <c r="C16" s="17"/>
      <c r="D16" s="17"/>
      <c r="E16" s="26"/>
      <c r="G16" s="11" t="str">
        <f aca="false">IF(Setup!E14="","",Setup!E14)</f>
        <v>Insurance</v>
      </c>
      <c r="H16" s="22" t="n">
        <f aca="false">IF(G16="","",Setup!G14)</f>
        <v>160</v>
      </c>
      <c r="I16" s="22" t="n">
        <f aca="false">IF(G16="","",SUMIFS($E$7:$E$86,$D$7:$D$86,G16))</f>
        <v>0</v>
      </c>
      <c r="J16" s="22" t="n">
        <f aca="false">IF(G16="","",H16-I16)</f>
        <v>160</v>
      </c>
      <c r="K16" s="33" t="n">
        <f aca="false">IF(OR(G16="",H16=0),"",I16/H16)</f>
        <v>0</v>
      </c>
    </row>
    <row r="17" customFormat="false" ht="15" hidden="false" customHeight="false" outlineLevel="0" collapsed="false">
      <c r="B17" s="30"/>
      <c r="C17" s="17"/>
      <c r="D17" s="17"/>
      <c r="E17" s="26"/>
      <c r="G17" s="11" t="str">
        <f aca="false">IF(Setup!E15="","",Setup!E15)</f>
        <v>Phone and internet</v>
      </c>
      <c r="H17" s="22" t="n">
        <f aca="false">IF(G17="","",Setup!G15)</f>
        <v>95</v>
      </c>
      <c r="I17" s="22" t="n">
        <f aca="false">IF(G17="","",SUMIFS($E$7:$E$86,$D$7:$D$86,G17))</f>
        <v>0</v>
      </c>
      <c r="J17" s="22" t="n">
        <f aca="false">IF(G17="","",H17-I17)</f>
        <v>95</v>
      </c>
      <c r="K17" s="33" t="n">
        <f aca="false">IF(OR(G17="",H17=0),"",I17/H17)</f>
        <v>0</v>
      </c>
    </row>
    <row r="18" customFormat="false" ht="15" hidden="false" customHeight="false" outlineLevel="0" collapsed="false">
      <c r="B18" s="30"/>
      <c r="C18" s="17"/>
      <c r="D18" s="17"/>
      <c r="E18" s="26"/>
      <c r="G18" s="11" t="str">
        <f aca="false">IF(Setup!E16="","",Setup!E16)</f>
        <v>Medical</v>
      </c>
      <c r="H18" s="22" t="n">
        <f aca="false">IF(G18="","",Setup!G16)</f>
        <v>60</v>
      </c>
      <c r="I18" s="22" t="n">
        <f aca="false">IF(G18="","",SUMIFS($E$7:$E$86,$D$7:$D$86,G18))</f>
        <v>0</v>
      </c>
      <c r="J18" s="22" t="n">
        <f aca="false">IF(G18="","",H18-I18)</f>
        <v>60</v>
      </c>
      <c r="K18" s="33" t="n">
        <f aca="false">IF(OR(G18="",H18=0),"",I18/H18)</f>
        <v>0</v>
      </c>
    </row>
    <row r="19" customFormat="false" ht="15" hidden="false" customHeight="false" outlineLevel="0" collapsed="false">
      <c r="B19" s="30"/>
      <c r="C19" s="17"/>
      <c r="D19" s="17"/>
      <c r="E19" s="26"/>
      <c r="G19" s="11" t="str">
        <f aca="false">IF(Setup!E17="","",Setup!E17)</f>
        <v>Eating out</v>
      </c>
      <c r="H19" s="22" t="n">
        <f aca="false">IF(G19="","",Setup!G17)</f>
        <v>150</v>
      </c>
      <c r="I19" s="22" t="n">
        <f aca="false">IF(G19="","",SUMIFS($E$7:$E$86,$D$7:$D$86,G19))</f>
        <v>0</v>
      </c>
      <c r="J19" s="22" t="n">
        <f aca="false">IF(G19="","",H19-I19)</f>
        <v>150</v>
      </c>
      <c r="K19" s="33" t="n">
        <f aca="false">IF(OR(G19="",H19=0),"",I19/H19)</f>
        <v>0</v>
      </c>
    </row>
    <row r="20" customFormat="false" ht="15" hidden="false" customHeight="false" outlineLevel="0" collapsed="false">
      <c r="B20" s="30"/>
      <c r="C20" s="17"/>
      <c r="D20" s="17"/>
      <c r="E20" s="26"/>
      <c r="G20" s="11" t="str">
        <f aca="false">IF(Setup!E18="","",Setup!E18)</f>
        <v>Shopping</v>
      </c>
      <c r="H20" s="22" t="n">
        <f aca="false">IF(G20="","",Setup!G18)</f>
        <v>120</v>
      </c>
      <c r="I20" s="22" t="n">
        <f aca="false">IF(G20="","",SUMIFS($E$7:$E$86,$D$7:$D$86,G20))</f>
        <v>0</v>
      </c>
      <c r="J20" s="22" t="n">
        <f aca="false">IF(G20="","",H20-I20)</f>
        <v>120</v>
      </c>
      <c r="K20" s="33" t="n">
        <f aca="false">IF(OR(G20="",H20=0),"",I20/H20)</f>
        <v>0</v>
      </c>
    </row>
    <row r="21" customFormat="false" ht="15" hidden="false" customHeight="false" outlineLevel="0" collapsed="false">
      <c r="B21" s="30"/>
      <c r="C21" s="17"/>
      <c r="D21" s="17"/>
      <c r="E21" s="26"/>
      <c r="G21" s="11" t="str">
        <f aca="false">IF(Setup!E19="","",Setup!E19)</f>
        <v>Subscriptions</v>
      </c>
      <c r="H21" s="22" t="n">
        <f aca="false">IF(G21="","",Setup!G19)</f>
        <v>45</v>
      </c>
      <c r="I21" s="22" t="n">
        <f aca="false">IF(G21="","",SUMIFS($E$7:$E$86,$D$7:$D$86,G21))</f>
        <v>0</v>
      </c>
      <c r="J21" s="22" t="n">
        <f aca="false">IF(G21="","",H21-I21)</f>
        <v>45</v>
      </c>
      <c r="K21" s="33" t="n">
        <f aca="false">IF(OR(G21="",H21=0),"",I21/H21)</f>
        <v>0</v>
      </c>
    </row>
    <row r="22" customFormat="false" ht="15" hidden="false" customHeight="false" outlineLevel="0" collapsed="false">
      <c r="B22" s="30"/>
      <c r="C22" s="17"/>
      <c r="D22" s="17"/>
      <c r="E22" s="26"/>
      <c r="G22" s="11" t="str">
        <f aca="false">IF(Setup!E20="","",Setup!E20)</f>
        <v>Fun</v>
      </c>
      <c r="H22" s="22" t="n">
        <f aca="false">IF(G22="","",Setup!G20)</f>
        <v>100</v>
      </c>
      <c r="I22" s="22" t="n">
        <f aca="false">IF(G22="","",SUMIFS($E$7:$E$86,$D$7:$D$86,G22))</f>
        <v>0</v>
      </c>
      <c r="J22" s="22" t="n">
        <f aca="false">IF(G22="","",H22-I22)</f>
        <v>100</v>
      </c>
      <c r="K22" s="33" t="n">
        <f aca="false">IF(OR(G22="",H22=0),"",I22/H22)</f>
        <v>0</v>
      </c>
    </row>
    <row r="23" customFormat="false" ht="15" hidden="false" customHeight="false" outlineLevel="0" collapsed="false">
      <c r="B23" s="30"/>
      <c r="C23" s="17"/>
      <c r="D23" s="17"/>
      <c r="E23" s="26"/>
      <c r="G23" s="11" t="str">
        <f aca="false">IF(Setup!E21="","",Setup!E21)</f>
        <v>Gifts</v>
      </c>
      <c r="H23" s="22" t="n">
        <f aca="false">IF(G23="","",Setup!G21)</f>
        <v>40</v>
      </c>
      <c r="I23" s="22" t="n">
        <f aca="false">IF(G23="","",SUMIFS($E$7:$E$86,$D$7:$D$86,G23))</f>
        <v>0</v>
      </c>
      <c r="J23" s="22" t="n">
        <f aca="false">IF(G23="","",H23-I23)</f>
        <v>40</v>
      </c>
      <c r="K23" s="33" t="n">
        <f aca="false">IF(OR(G23="",H23=0),"",I23/H23)</f>
        <v>0</v>
      </c>
    </row>
    <row r="24" customFormat="false" ht="15" hidden="false" customHeight="false" outlineLevel="0" collapsed="false">
      <c r="B24" s="30"/>
      <c r="C24" s="17"/>
      <c r="D24" s="17"/>
      <c r="E24" s="26"/>
      <c r="G24" s="11" t="str">
        <f aca="false">IF(Setup!E22="","",Setup!E22)</f>
        <v>Personal care</v>
      </c>
      <c r="H24" s="22" t="n">
        <f aca="false">IF(G24="","",Setup!G22)</f>
        <v>50</v>
      </c>
      <c r="I24" s="22" t="n">
        <f aca="false">IF(G24="","",SUMIFS($E$7:$E$86,$D$7:$D$86,G24))</f>
        <v>0</v>
      </c>
      <c r="J24" s="22" t="n">
        <f aca="false">IF(G24="","",H24-I24)</f>
        <v>50</v>
      </c>
      <c r="K24" s="33" t="n">
        <f aca="false">IF(OR(G24="",H24=0),"",I24/H24)</f>
        <v>0</v>
      </c>
    </row>
    <row r="25" customFormat="false" ht="15" hidden="false" customHeight="false" outlineLevel="0" collapsed="false">
      <c r="B25" s="30"/>
      <c r="C25" s="17"/>
      <c r="D25" s="17"/>
      <c r="E25" s="26"/>
      <c r="G25" s="11" t="str">
        <f aca="false">IF(Setup!E23="","",Setup!E23)</f>
        <v>Emergency fund</v>
      </c>
      <c r="H25" s="22" t="n">
        <f aca="false">IF(G25="","",Setup!G23)</f>
        <v>200</v>
      </c>
      <c r="I25" s="22" t="n">
        <f aca="false">IF(G25="","",SUMIFS($E$7:$E$86,$D$7:$D$86,G25))</f>
        <v>0</v>
      </c>
      <c r="J25" s="22" t="n">
        <f aca="false">IF(G25="","",H25-I25)</f>
        <v>200</v>
      </c>
      <c r="K25" s="33" t="n">
        <f aca="false">IF(OR(G25="",H25=0),"",I25/H25)</f>
        <v>0</v>
      </c>
    </row>
    <row r="26" customFormat="false" ht="15" hidden="false" customHeight="false" outlineLevel="0" collapsed="false">
      <c r="B26" s="30"/>
      <c r="C26" s="17"/>
      <c r="D26" s="17"/>
      <c r="E26" s="26"/>
      <c r="G26" s="11" t="str">
        <f aca="false">IF(Setup!E24="","",Setup!E24)</f>
        <v>Sinking funds</v>
      </c>
      <c r="H26" s="22" t="n">
        <f aca="false">IF(G26="","",Setup!G24)</f>
        <v>100</v>
      </c>
      <c r="I26" s="22" t="n">
        <f aca="false">IF(G26="","",SUMIFS($E$7:$E$86,$D$7:$D$86,G26))</f>
        <v>0</v>
      </c>
      <c r="J26" s="22" t="n">
        <f aca="false">IF(G26="","",H26-I26)</f>
        <v>100</v>
      </c>
      <c r="K26" s="33" t="n">
        <f aca="false">IF(OR(G26="",H26=0),"",I26/H26)</f>
        <v>0</v>
      </c>
    </row>
    <row r="27" customFormat="false" ht="15" hidden="false" customHeight="false" outlineLevel="0" collapsed="false">
      <c r="B27" s="30"/>
      <c r="C27" s="17"/>
      <c r="D27" s="17"/>
      <c r="E27" s="26"/>
      <c r="G27" s="11" t="str">
        <f aca="false">IF(Setup!E25="","",Setup!E25)</f>
        <v>Retirement</v>
      </c>
      <c r="H27" s="22" t="n">
        <f aca="false">IF(G27="","",Setup!G25)</f>
        <v>150</v>
      </c>
      <c r="I27" s="22" t="n">
        <f aca="false">IF(G27="","",SUMIFS($E$7:$E$86,$D$7:$D$86,G27))</f>
        <v>0</v>
      </c>
      <c r="J27" s="22" t="n">
        <f aca="false">IF(G27="","",H27-I27)</f>
        <v>150</v>
      </c>
      <c r="K27" s="33" t="n">
        <f aca="false">IF(OR(G27="",H27=0),"",I27/H27)</f>
        <v>0</v>
      </c>
    </row>
    <row r="28" customFormat="false" ht="15" hidden="false" customHeight="false" outlineLevel="0" collapsed="false">
      <c r="B28" s="30"/>
      <c r="C28" s="17"/>
      <c r="D28" s="17"/>
      <c r="E28" s="26"/>
      <c r="G28" s="11" t="str">
        <f aca="false">IF(Setup!E26="","",Setup!E26)</f>
        <v>Credit card</v>
      </c>
      <c r="H28" s="22" t="n">
        <f aca="false">IF(G28="","",Setup!G26)</f>
        <v>150</v>
      </c>
      <c r="I28" s="22" t="n">
        <f aca="false">IF(G28="","",SUMIFS($E$7:$E$86,$D$7:$D$86,G28))</f>
        <v>0</v>
      </c>
      <c r="J28" s="22" t="n">
        <f aca="false">IF(G28="","",H28-I28)</f>
        <v>150</v>
      </c>
      <c r="K28" s="33" t="n">
        <f aca="false">IF(OR(G28="",H28=0),"",I28/H28)</f>
        <v>0</v>
      </c>
    </row>
    <row r="29" customFormat="false" ht="15" hidden="false" customHeight="false" outlineLevel="0" collapsed="false">
      <c r="B29" s="30"/>
      <c r="C29" s="17"/>
      <c r="D29" s="17"/>
      <c r="E29" s="26"/>
      <c r="G29" s="11" t="str">
        <f aca="false">IF(Setup!E27="","",Setup!E27)</f>
        <v>Student loan</v>
      </c>
      <c r="H29" s="22" t="n">
        <f aca="false">IF(G29="","",Setup!G27)</f>
        <v>180</v>
      </c>
      <c r="I29" s="22" t="n">
        <f aca="false">IF(G29="","",SUMIFS($E$7:$E$86,$D$7:$D$86,G29))</f>
        <v>0</v>
      </c>
      <c r="J29" s="22" t="n">
        <f aca="false">IF(G29="","",H29-I29)</f>
        <v>180</v>
      </c>
      <c r="K29" s="33" t="n">
        <f aca="false">IF(OR(G29="",H29=0),"",I29/H29)</f>
        <v>0</v>
      </c>
    </row>
    <row r="30" customFormat="false" ht="15" hidden="false" customHeight="false" outlineLevel="0" collapsed="false">
      <c r="B30" s="30"/>
      <c r="C30" s="17"/>
      <c r="D30" s="17"/>
      <c r="E30" s="26"/>
      <c r="G30" s="11" t="str">
        <f aca="false">IF(Setup!E28="","",Setup!E28)</f>
        <v/>
      </c>
      <c r="H30" s="22" t="str">
        <f aca="false">IF(G30="","",Setup!G28)</f>
        <v/>
      </c>
      <c r="I30" s="22" t="str">
        <f aca="false">IF(G30="","",SUMIFS($E$7:$E$86,$D$7:$D$86,G30))</f>
        <v/>
      </c>
      <c r="J30" s="22" t="str">
        <f aca="false">IF(G30="","",H30-I30)</f>
        <v/>
      </c>
      <c r="K30" s="33" t="str">
        <f aca="false">IF(OR(G30="",H30=0),"",I30/H30)</f>
        <v/>
      </c>
    </row>
    <row r="31" customFormat="false" ht="15" hidden="false" customHeight="false" outlineLevel="0" collapsed="false">
      <c r="B31" s="30"/>
      <c r="C31" s="17"/>
      <c r="D31" s="17"/>
      <c r="E31" s="26"/>
      <c r="G31" s="11" t="str">
        <f aca="false">IF(Setup!E29="","",Setup!E29)</f>
        <v/>
      </c>
      <c r="H31" s="22" t="str">
        <f aca="false">IF(G31="","",Setup!G29)</f>
        <v/>
      </c>
      <c r="I31" s="22" t="str">
        <f aca="false">IF(G31="","",SUMIFS($E$7:$E$86,$D$7:$D$86,G31))</f>
        <v/>
      </c>
      <c r="J31" s="22" t="str">
        <f aca="false">IF(G31="","",H31-I31)</f>
        <v/>
      </c>
      <c r="K31" s="33" t="str">
        <f aca="false">IF(OR(G31="",H31=0),"",I31/H31)</f>
        <v/>
      </c>
    </row>
    <row r="32" customFormat="false" ht="15" hidden="false" customHeight="false" outlineLevel="0" collapsed="false">
      <c r="B32" s="30"/>
      <c r="C32" s="17"/>
      <c r="D32" s="17"/>
      <c r="E32" s="26"/>
      <c r="G32" s="11" t="str">
        <f aca="false">IF(Setup!E30="","",Setup!E30)</f>
        <v/>
      </c>
      <c r="H32" s="22" t="str">
        <f aca="false">IF(G32="","",Setup!G30)</f>
        <v/>
      </c>
      <c r="I32" s="22" t="str">
        <f aca="false">IF(G32="","",SUMIFS($E$7:$E$86,$D$7:$D$86,G32))</f>
        <v/>
      </c>
      <c r="J32" s="22" t="str">
        <f aca="false">IF(G32="","",H32-I32)</f>
        <v/>
      </c>
      <c r="K32" s="33" t="str">
        <f aca="false">IF(OR(G32="",H32=0),"",I32/H32)</f>
        <v/>
      </c>
    </row>
    <row r="33" customFormat="false" ht="15" hidden="false" customHeight="false" outlineLevel="0" collapsed="false">
      <c r="B33" s="30"/>
      <c r="C33" s="17"/>
      <c r="D33" s="17"/>
      <c r="E33" s="26"/>
      <c r="G33" s="11" t="str">
        <f aca="false">IF(Setup!E31="","",Setup!E31)</f>
        <v/>
      </c>
      <c r="H33" s="22" t="str">
        <f aca="false">IF(G33="","",Setup!G31)</f>
        <v/>
      </c>
      <c r="I33" s="22" t="str">
        <f aca="false">IF(G33="","",SUMIFS($E$7:$E$86,$D$7:$D$86,G33))</f>
        <v/>
      </c>
      <c r="J33" s="22" t="str">
        <f aca="false">IF(G33="","",H33-I33)</f>
        <v/>
      </c>
      <c r="K33" s="33" t="str">
        <f aca="false">IF(OR(G33="",H33=0),"",I33/H33)</f>
        <v/>
      </c>
    </row>
    <row r="34" customFormat="false" ht="15" hidden="false" customHeight="false" outlineLevel="0" collapsed="false">
      <c r="B34" s="30"/>
      <c r="C34" s="17"/>
      <c r="D34" s="17"/>
      <c r="E34" s="26"/>
      <c r="G34" s="11" t="str">
        <f aca="false">IF(Setup!E32="","",Setup!E32)</f>
        <v/>
      </c>
      <c r="H34" s="22" t="str">
        <f aca="false">IF(G34="","",Setup!G32)</f>
        <v/>
      </c>
      <c r="I34" s="22" t="str">
        <f aca="false">IF(G34="","",SUMIFS($E$7:$E$86,$D$7:$D$86,G34))</f>
        <v/>
      </c>
      <c r="J34" s="22" t="str">
        <f aca="false">IF(G34="","",H34-I34)</f>
        <v/>
      </c>
      <c r="K34" s="33" t="str">
        <f aca="false">IF(OR(G34="",H34=0),"",I34/H34)</f>
        <v/>
      </c>
    </row>
    <row r="35" customFormat="false" ht="15" hidden="false" customHeight="false" outlineLevel="0" collapsed="false">
      <c r="B35" s="30"/>
      <c r="C35" s="17"/>
      <c r="D35" s="17"/>
      <c r="E35" s="26"/>
      <c r="G35" s="11" t="str">
        <f aca="false">IF(Setup!E33="","",Setup!E33)</f>
        <v/>
      </c>
      <c r="H35" s="22" t="str">
        <f aca="false">IF(G35="","",Setup!G33)</f>
        <v/>
      </c>
      <c r="I35" s="22" t="str">
        <f aca="false">IF(G35="","",SUMIFS($E$7:$E$86,$D$7:$D$86,G35))</f>
        <v/>
      </c>
      <c r="J35" s="22" t="str">
        <f aca="false">IF(G35="","",H35-I35)</f>
        <v/>
      </c>
      <c r="K35" s="33" t="str">
        <f aca="false">IF(OR(G35="",H35=0),"",I35/H35)</f>
        <v/>
      </c>
    </row>
    <row r="36" customFormat="false" ht="15" hidden="false" customHeight="false" outlineLevel="0" collapsed="false">
      <c r="B36" s="30"/>
      <c r="C36" s="17"/>
      <c r="D36" s="17"/>
      <c r="E36" s="26"/>
      <c r="G36" s="11" t="str">
        <f aca="false">IF(Setup!E34="","",Setup!E34)</f>
        <v/>
      </c>
      <c r="H36" s="22" t="str">
        <f aca="false">IF(G36="","",Setup!G34)</f>
        <v/>
      </c>
      <c r="I36" s="22" t="str">
        <f aca="false">IF(G36="","",SUMIFS($E$7:$E$86,$D$7:$D$86,G36))</f>
        <v/>
      </c>
      <c r="J36" s="22" t="str">
        <f aca="false">IF(G36="","",H36-I36)</f>
        <v/>
      </c>
      <c r="K36" s="33" t="str">
        <f aca="false">IF(OR(G36="",H36=0),"",I36/H36)</f>
        <v/>
      </c>
    </row>
    <row r="37" customFormat="false" ht="15" hidden="false" customHeight="false" outlineLevel="0" collapsed="false">
      <c r="B37" s="30"/>
      <c r="C37" s="17"/>
      <c r="D37" s="17"/>
      <c r="E37" s="26"/>
      <c r="G37" s="11" t="str">
        <f aca="false">IF(Setup!E35="","",Setup!E35)</f>
        <v/>
      </c>
      <c r="H37" s="22" t="str">
        <f aca="false">IF(G37="","",Setup!G35)</f>
        <v/>
      </c>
      <c r="I37" s="22" t="str">
        <f aca="false">IF(G37="","",SUMIFS($E$7:$E$86,$D$7:$D$86,G37))</f>
        <v/>
      </c>
      <c r="J37" s="22" t="str">
        <f aca="false">IF(G37="","",H37-I37)</f>
        <v/>
      </c>
      <c r="K37" s="33" t="str">
        <f aca="false">IF(OR(G37="",H37=0),"",I37/H37)</f>
        <v/>
      </c>
    </row>
    <row r="38" customFormat="false" ht="15" hidden="false" customHeight="false" outlineLevel="0" collapsed="false">
      <c r="B38" s="30"/>
      <c r="C38" s="17"/>
      <c r="D38" s="17"/>
      <c r="E38" s="26"/>
      <c r="G38" s="11" t="str">
        <f aca="false">IF(Setup!E36="","",Setup!E36)</f>
        <v/>
      </c>
      <c r="H38" s="22" t="str">
        <f aca="false">IF(G38="","",Setup!G36)</f>
        <v/>
      </c>
      <c r="I38" s="22" t="str">
        <f aca="false">IF(G38="","",SUMIFS($E$7:$E$86,$D$7:$D$86,G38))</f>
        <v/>
      </c>
      <c r="J38" s="22" t="str">
        <f aca="false">IF(G38="","",H38-I38)</f>
        <v/>
      </c>
      <c r="K38" s="33" t="str">
        <f aca="false">IF(OR(G38="",H38=0),"",I38/H38)</f>
        <v/>
      </c>
    </row>
    <row r="39" customFormat="false" ht="15" hidden="false" customHeight="false" outlineLevel="0" collapsed="false">
      <c r="B39" s="30"/>
      <c r="C39" s="17"/>
      <c r="D39" s="17"/>
      <c r="E39" s="26"/>
      <c r="G39" s="11" t="str">
        <f aca="false">IF(Setup!E37="","",Setup!E37)</f>
        <v/>
      </c>
      <c r="H39" s="22" t="str">
        <f aca="false">IF(G39="","",Setup!G37)</f>
        <v/>
      </c>
      <c r="I39" s="22" t="str">
        <f aca="false">IF(G39="","",SUMIFS($E$7:$E$86,$D$7:$D$86,G39))</f>
        <v/>
      </c>
      <c r="J39" s="22" t="str">
        <f aca="false">IF(G39="","",H39-I39)</f>
        <v/>
      </c>
      <c r="K39" s="33" t="str">
        <f aca="false">IF(OR(G39="",H39=0),"",I39/H39)</f>
        <v/>
      </c>
    </row>
    <row r="40" customFormat="false" ht="15" hidden="false" customHeight="false" outlineLevel="0" collapsed="false">
      <c r="B40" s="30"/>
      <c r="C40" s="17"/>
      <c r="D40" s="17"/>
      <c r="E40" s="26"/>
      <c r="G40" s="11" t="str">
        <f aca="false">IF(Setup!E38="","",Setup!E38)</f>
        <v/>
      </c>
      <c r="H40" s="22" t="str">
        <f aca="false">IF(G40="","",Setup!G38)</f>
        <v/>
      </c>
      <c r="I40" s="22" t="str">
        <f aca="false">IF(G40="","",SUMIFS($E$7:$E$86,$D$7:$D$86,G40))</f>
        <v/>
      </c>
      <c r="J40" s="22" t="str">
        <f aca="false">IF(G40="","",H40-I40)</f>
        <v/>
      </c>
      <c r="K40" s="33" t="str">
        <f aca="false">IF(OR(G40="",H40=0),"",I40/H40)</f>
        <v/>
      </c>
    </row>
    <row r="41" customFormat="false" ht="15" hidden="false" customHeight="false" outlineLevel="0" collapsed="false">
      <c r="B41" s="30"/>
      <c r="C41" s="17"/>
      <c r="D41" s="17"/>
      <c r="E41" s="26"/>
      <c r="G41" s="11" t="str">
        <f aca="false">IF(Setup!E39="","",Setup!E39)</f>
        <v/>
      </c>
      <c r="H41" s="22" t="str">
        <f aca="false">IF(G41="","",Setup!G39)</f>
        <v/>
      </c>
      <c r="I41" s="22" t="str">
        <f aca="false">IF(G41="","",SUMIFS($E$7:$E$86,$D$7:$D$86,G41))</f>
        <v/>
      </c>
      <c r="J41" s="22" t="str">
        <f aca="false">IF(G41="","",H41-I41)</f>
        <v/>
      </c>
      <c r="K41" s="33" t="str">
        <f aca="false">IF(OR(G41="",H41=0),"",I41/H41)</f>
        <v/>
      </c>
    </row>
    <row r="42" customFormat="false" ht="15" hidden="false" customHeight="false" outlineLevel="0" collapsed="false">
      <c r="B42" s="30"/>
      <c r="C42" s="17"/>
      <c r="D42" s="17"/>
      <c r="E42" s="26"/>
    </row>
    <row r="43" customFormat="false" ht="15" hidden="false" customHeight="false" outlineLevel="0" collapsed="false">
      <c r="B43" s="30"/>
      <c r="C43" s="17"/>
      <c r="D43" s="17"/>
      <c r="E43" s="26"/>
    </row>
    <row r="44" customFormat="false" ht="15" hidden="false" customHeight="false" outlineLevel="0" collapsed="false">
      <c r="B44" s="30"/>
      <c r="C44" s="17"/>
      <c r="D44" s="17"/>
      <c r="E44" s="26"/>
    </row>
    <row r="45" customFormat="false" ht="15" hidden="false" customHeight="false" outlineLevel="0" collapsed="false">
      <c r="B45" s="30"/>
      <c r="C45" s="17"/>
      <c r="D45" s="17"/>
      <c r="E45" s="26"/>
    </row>
    <row r="46" customFormat="false" ht="15" hidden="false" customHeight="false" outlineLevel="0" collapsed="false">
      <c r="B46" s="30"/>
      <c r="C46" s="17"/>
      <c r="D46" s="17"/>
      <c r="E46" s="26"/>
    </row>
    <row r="47" customFormat="false" ht="15" hidden="false" customHeight="false" outlineLevel="0" collapsed="false">
      <c r="B47" s="30"/>
      <c r="C47" s="17"/>
      <c r="D47" s="17"/>
      <c r="E47" s="26"/>
    </row>
    <row r="48" customFormat="false" ht="15" hidden="false" customHeight="false" outlineLevel="0" collapsed="false">
      <c r="B48" s="30"/>
      <c r="C48" s="17"/>
      <c r="D48" s="17"/>
      <c r="E48" s="26"/>
    </row>
    <row r="49" customFormat="false" ht="15" hidden="false" customHeight="false" outlineLevel="0" collapsed="false">
      <c r="B49" s="30"/>
      <c r="C49" s="17"/>
      <c r="D49" s="17"/>
      <c r="E49" s="26"/>
    </row>
    <row r="50" customFormat="false" ht="15" hidden="false" customHeight="false" outlineLevel="0" collapsed="false">
      <c r="B50" s="30"/>
      <c r="C50" s="17"/>
      <c r="D50" s="17"/>
      <c r="E50" s="26"/>
    </row>
    <row r="51" customFormat="false" ht="15" hidden="false" customHeight="false" outlineLevel="0" collapsed="false">
      <c r="B51" s="30"/>
      <c r="C51" s="17"/>
      <c r="D51" s="17"/>
      <c r="E51" s="26"/>
    </row>
    <row r="52" customFormat="false" ht="15" hidden="false" customHeight="false" outlineLevel="0" collapsed="false">
      <c r="B52" s="30"/>
      <c r="C52" s="17"/>
      <c r="D52" s="17"/>
      <c r="E52" s="26"/>
    </row>
    <row r="53" customFormat="false" ht="15" hidden="false" customHeight="false" outlineLevel="0" collapsed="false">
      <c r="B53" s="30"/>
      <c r="C53" s="17"/>
      <c r="D53" s="17"/>
      <c r="E53" s="26"/>
    </row>
    <row r="54" customFormat="false" ht="15" hidden="false" customHeight="false" outlineLevel="0" collapsed="false">
      <c r="B54" s="30"/>
      <c r="C54" s="17"/>
      <c r="D54" s="17"/>
      <c r="E54" s="26"/>
    </row>
    <row r="55" customFormat="false" ht="15" hidden="false" customHeight="false" outlineLevel="0" collapsed="false">
      <c r="B55" s="30"/>
      <c r="C55" s="17"/>
      <c r="D55" s="17"/>
      <c r="E55" s="26"/>
    </row>
    <row r="56" customFormat="false" ht="15" hidden="false" customHeight="false" outlineLevel="0" collapsed="false">
      <c r="B56" s="30"/>
      <c r="C56" s="17"/>
      <c r="D56" s="17"/>
      <c r="E56" s="26"/>
    </row>
    <row r="57" customFormat="false" ht="15" hidden="false" customHeight="false" outlineLevel="0" collapsed="false">
      <c r="B57" s="30"/>
      <c r="C57" s="17"/>
      <c r="D57" s="17"/>
      <c r="E57" s="26"/>
    </row>
    <row r="58" customFormat="false" ht="15" hidden="false" customHeight="false" outlineLevel="0" collapsed="false">
      <c r="B58" s="30"/>
      <c r="C58" s="17"/>
      <c r="D58" s="17"/>
      <c r="E58" s="26"/>
    </row>
    <row r="59" customFormat="false" ht="15" hidden="false" customHeight="false" outlineLevel="0" collapsed="false">
      <c r="B59" s="30"/>
      <c r="C59" s="17"/>
      <c r="D59" s="17"/>
      <c r="E59" s="26"/>
    </row>
    <row r="60" customFormat="false" ht="15" hidden="false" customHeight="false" outlineLevel="0" collapsed="false">
      <c r="B60" s="30"/>
      <c r="C60" s="17"/>
      <c r="D60" s="17"/>
      <c r="E60" s="26"/>
    </row>
    <row r="61" customFormat="false" ht="15" hidden="false" customHeight="false" outlineLevel="0" collapsed="false">
      <c r="B61" s="30"/>
      <c r="C61" s="17"/>
      <c r="D61" s="17"/>
      <c r="E61" s="26"/>
    </row>
    <row r="62" customFormat="false" ht="15" hidden="false" customHeight="false" outlineLevel="0" collapsed="false">
      <c r="B62" s="30"/>
      <c r="C62" s="17"/>
      <c r="D62" s="17"/>
      <c r="E62" s="26"/>
    </row>
    <row r="63" customFormat="false" ht="15" hidden="false" customHeight="false" outlineLevel="0" collapsed="false">
      <c r="B63" s="30"/>
      <c r="C63" s="17"/>
      <c r="D63" s="17"/>
      <c r="E63" s="26"/>
    </row>
    <row r="64" customFormat="false" ht="15" hidden="false" customHeight="false" outlineLevel="0" collapsed="false">
      <c r="B64" s="30"/>
      <c r="C64" s="17"/>
      <c r="D64" s="17"/>
      <c r="E64" s="26"/>
    </row>
    <row r="65" customFormat="false" ht="15" hidden="false" customHeight="false" outlineLevel="0" collapsed="false">
      <c r="B65" s="30"/>
      <c r="C65" s="17"/>
      <c r="D65" s="17"/>
      <c r="E65" s="26"/>
    </row>
    <row r="66" customFormat="false" ht="15" hidden="false" customHeight="false" outlineLevel="0" collapsed="false">
      <c r="B66" s="30"/>
      <c r="C66" s="17"/>
      <c r="D66" s="17"/>
      <c r="E66" s="26"/>
    </row>
    <row r="67" customFormat="false" ht="15" hidden="false" customHeight="false" outlineLevel="0" collapsed="false">
      <c r="B67" s="30"/>
      <c r="C67" s="17"/>
      <c r="D67" s="17"/>
      <c r="E67" s="26"/>
    </row>
    <row r="68" customFormat="false" ht="15" hidden="false" customHeight="false" outlineLevel="0" collapsed="false">
      <c r="B68" s="30"/>
      <c r="C68" s="17"/>
      <c r="D68" s="17"/>
      <c r="E68" s="26"/>
    </row>
    <row r="69" customFormat="false" ht="15" hidden="false" customHeight="false" outlineLevel="0" collapsed="false">
      <c r="B69" s="30"/>
      <c r="C69" s="17"/>
      <c r="D69" s="17"/>
      <c r="E69" s="26"/>
    </row>
    <row r="70" customFormat="false" ht="15" hidden="false" customHeight="false" outlineLevel="0" collapsed="false">
      <c r="B70" s="30"/>
      <c r="C70" s="17"/>
      <c r="D70" s="17"/>
      <c r="E70" s="26"/>
    </row>
    <row r="71" customFormat="false" ht="15" hidden="false" customHeight="false" outlineLevel="0" collapsed="false">
      <c r="B71" s="30"/>
      <c r="C71" s="17"/>
      <c r="D71" s="17"/>
      <c r="E71" s="26"/>
    </row>
    <row r="72" customFormat="false" ht="15" hidden="false" customHeight="false" outlineLevel="0" collapsed="false">
      <c r="B72" s="30"/>
      <c r="C72" s="17"/>
      <c r="D72" s="17"/>
      <c r="E72" s="26"/>
    </row>
    <row r="73" customFormat="false" ht="15" hidden="false" customHeight="false" outlineLevel="0" collapsed="false">
      <c r="B73" s="30"/>
      <c r="C73" s="17"/>
      <c r="D73" s="17"/>
      <c r="E73" s="26"/>
    </row>
    <row r="74" customFormat="false" ht="15" hidden="false" customHeight="false" outlineLevel="0" collapsed="false">
      <c r="B74" s="30"/>
      <c r="C74" s="17"/>
      <c r="D74" s="17"/>
      <c r="E74" s="26"/>
    </row>
    <row r="75" customFormat="false" ht="15" hidden="false" customHeight="false" outlineLevel="0" collapsed="false">
      <c r="B75" s="30"/>
      <c r="C75" s="17"/>
      <c r="D75" s="17"/>
      <c r="E75" s="26"/>
    </row>
    <row r="76" customFormat="false" ht="15" hidden="false" customHeight="false" outlineLevel="0" collapsed="false">
      <c r="B76" s="30"/>
      <c r="C76" s="17"/>
      <c r="D76" s="17"/>
      <c r="E76" s="26"/>
    </row>
    <row r="77" customFormat="false" ht="15" hidden="false" customHeight="false" outlineLevel="0" collapsed="false">
      <c r="B77" s="30"/>
      <c r="C77" s="17"/>
      <c r="D77" s="17"/>
      <c r="E77" s="26"/>
    </row>
    <row r="78" customFormat="false" ht="15" hidden="false" customHeight="false" outlineLevel="0" collapsed="false">
      <c r="B78" s="30"/>
      <c r="C78" s="17"/>
      <c r="D78" s="17"/>
      <c r="E78" s="26"/>
    </row>
    <row r="79" customFormat="false" ht="15" hidden="false" customHeight="false" outlineLevel="0" collapsed="false">
      <c r="B79" s="30"/>
      <c r="C79" s="17"/>
      <c r="D79" s="17"/>
      <c r="E79" s="26"/>
    </row>
    <row r="80" customFormat="false" ht="15" hidden="false" customHeight="false" outlineLevel="0" collapsed="false">
      <c r="B80" s="30"/>
      <c r="C80" s="17"/>
      <c r="D80" s="17"/>
      <c r="E80" s="26"/>
    </row>
    <row r="81" customFormat="false" ht="15" hidden="false" customHeight="false" outlineLevel="0" collapsed="false">
      <c r="B81" s="30"/>
      <c r="C81" s="17"/>
      <c r="D81" s="17"/>
      <c r="E81" s="26"/>
    </row>
    <row r="82" customFormat="false" ht="15" hidden="false" customHeight="false" outlineLevel="0" collapsed="false">
      <c r="B82" s="30"/>
      <c r="C82" s="17"/>
      <c r="D82" s="17"/>
      <c r="E82" s="26"/>
    </row>
    <row r="83" customFormat="false" ht="15" hidden="false" customHeight="false" outlineLevel="0" collapsed="false">
      <c r="B83" s="30"/>
      <c r="C83" s="17"/>
      <c r="D83" s="17"/>
      <c r="E83" s="26"/>
    </row>
    <row r="84" customFormat="false" ht="15" hidden="false" customHeight="false" outlineLevel="0" collapsed="false">
      <c r="B84" s="30"/>
      <c r="C84" s="17"/>
      <c r="D84" s="17"/>
      <c r="E84" s="26"/>
    </row>
    <row r="85" customFormat="false" ht="15" hidden="false" customHeight="false" outlineLevel="0" collapsed="false">
      <c r="B85" s="30"/>
      <c r="C85" s="17"/>
      <c r="D85" s="17"/>
      <c r="E85" s="26"/>
    </row>
    <row r="86" customFormat="false" ht="15" hidden="false" customHeight="false" outlineLevel="0" collapsed="false">
      <c r="B86" s="30"/>
      <c r="C86" s="17"/>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K12:K41">
    <cfRule type="dataBar" priority="4">
      <dataBar showValue="1" minLength="10" maxLength="90">
        <cfvo type="num" val="0"/>
        <cfvo type="num" val="1"/>
        <color rgb="FF2F6F5E"/>
      </dataBar>
      <extLst>
        <ext xmlns:x14="http://schemas.microsoft.com/office/spreadsheetml/2009/9/main" uri="{B025F937-C7B1-47D3-B67F-A62EFF666E3E}">
          <x14:id>{458F88EA-3D7B-4982-92C3-893F97DDDDD7}</x14:id>
        </ext>
      </extLst>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r:id="rId1" location="'Start%20here'!A1" display="Start here"/>
    <hyperlink ref="C4" r:id="rId2" location="'Dashboard'!A1" display="Dashboard"/>
    <hyperlink ref="D4" r:id="rId3" location="'Setup'!A1" display="Setup"/>
    <hyperlink ref="E4" r:id="rId4" location="'January'!A1" display="Months"/>
    <hyperlink ref="F4" r:id="rId5" location="'Bills'!A1" display="Bills"/>
    <hyperlink ref="G4" r:id="rId6" location="'Paycheck%20plan'!A1" display="Paycheck"/>
    <hyperlink ref="H4" r:id="rId7" location="'Debt%20payoff'!A1" display="Debt"/>
    <hyperlink ref="I4" r:id="rId8" location="'Savings%20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458F88EA-3D7B-4982-92C3-893F97DDDDD7}">
            <x14:dataBar minLength="10" maxLength="90" axisPosition="none" gradient="true">
              <x14:cfvo type="num">
                <xm:f>0</xm:f>
              </x14:cfvo>
              <x14:cfvo type="num">
                <xm:f>1</xm:f>
              </x14:cfvo>
              <x14:negativeFillColor rgb="FF2F6F5E"/>
              <x14:axisColor rgb="FF000000"/>
            </x14:dataBar>
          </x14:cfRule>
          <xm:sqref>K12:K41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K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10"/>
    <col collapsed="false" customWidth="true" hidden="false" outlineLevel="0" max="29" min="12" style="0" width="14"/>
  </cols>
  <sheetData>
    <row r="2" customFormat="false" ht="33.75" hidden="false" customHeight="true" outlineLevel="0" collapsed="false">
      <c r="B2" s="1" t="s">
        <v>18</v>
      </c>
    </row>
    <row r="3" customFormat="false" ht="15" hidden="false" customHeight="false" outlineLevel="0" collapsed="false">
      <c r="B3" s="2" t="s">
        <v>99</v>
      </c>
    </row>
    <row r="4" customFormat="false" ht="15" hidden="false" customHeight="false" outlineLevel="0" collapsed="false">
      <c r="B4" s="3" t="s">
        <v>2</v>
      </c>
      <c r="C4" s="3" t="s">
        <v>3</v>
      </c>
      <c r="D4" s="3" t="s">
        <v>4</v>
      </c>
      <c r="E4" s="3" t="s">
        <v>5</v>
      </c>
      <c r="F4" s="3" t="s">
        <v>6</v>
      </c>
      <c r="G4" s="3" t="s">
        <v>7</v>
      </c>
      <c r="H4" s="3" t="s">
        <v>8</v>
      </c>
      <c r="I4" s="3" t="s">
        <v>9</v>
      </c>
    </row>
    <row r="6" customFormat="false" ht="21.75" hidden="false" customHeight="true" outlineLevel="0" collapsed="false">
      <c r="B6" s="10" t="s">
        <v>100</v>
      </c>
      <c r="C6" s="10" t="s">
        <v>101</v>
      </c>
      <c r="D6" s="10" t="s">
        <v>64</v>
      </c>
      <c r="E6" s="10" t="s">
        <v>102</v>
      </c>
      <c r="G6" s="27" t="s">
        <v>103</v>
      </c>
      <c r="H6" s="28" t="n">
        <f aca="false">Setup!$C$18</f>
        <v>3900</v>
      </c>
      <c r="I6" s="29" t="s">
        <v>104</v>
      </c>
    </row>
    <row r="7" customFormat="false" ht="15" hidden="false" customHeight="false" outlineLevel="0" collapsed="false">
      <c r="B7" s="30"/>
      <c r="C7" s="17"/>
      <c r="D7" s="17"/>
      <c r="E7" s="26"/>
      <c r="G7" s="31" t="s">
        <v>61</v>
      </c>
      <c r="H7" s="32" t="n">
        <f aca="false">SUM(E7:E86)</f>
        <v>0</v>
      </c>
    </row>
    <row r="8" customFormat="false" ht="15" hidden="false" customHeight="false" outlineLevel="0" collapsed="false">
      <c r="B8" s="30"/>
      <c r="C8" s="17"/>
      <c r="D8" s="17"/>
      <c r="E8" s="26"/>
      <c r="G8" s="31" t="s">
        <v>62</v>
      </c>
      <c r="H8" s="32" t="n">
        <f aca="false">H6-H7</f>
        <v>3900</v>
      </c>
    </row>
    <row r="9" customFormat="false" ht="15" hidden="false" customHeight="false" outlineLevel="0" collapsed="false">
      <c r="B9" s="30"/>
      <c r="C9" s="17"/>
      <c r="D9" s="17"/>
      <c r="E9" s="26"/>
      <c r="G9" s="31" t="s">
        <v>108</v>
      </c>
      <c r="H9" s="32" t="n">
        <f aca="false">SUMPRODUCT(SUMIFS($E$7:$E$86,$D$7:$D$86,Setup!$E$10:$E$39)*((Setup!$F$10:$F$39="Savings")+(Setup!$F$10:$F$39="Debt")))</f>
        <v>0</v>
      </c>
    </row>
    <row r="10" customFormat="false" ht="15" hidden="false" customHeight="false" outlineLevel="0" collapsed="false">
      <c r="B10" s="30"/>
      <c r="C10" s="17"/>
      <c r="D10" s="17"/>
      <c r="E10" s="26"/>
    </row>
    <row r="11" customFormat="false" ht="21.75" hidden="false" customHeight="true" outlineLevel="0" collapsed="false">
      <c r="B11" s="30"/>
      <c r="C11" s="17"/>
      <c r="D11" s="17"/>
      <c r="E11" s="26"/>
      <c r="G11" s="10" t="s">
        <v>64</v>
      </c>
      <c r="H11" s="10" t="s">
        <v>110</v>
      </c>
      <c r="I11" s="10" t="s">
        <v>61</v>
      </c>
      <c r="J11" s="10" t="s">
        <v>111</v>
      </c>
      <c r="K11" s="10" t="s">
        <v>112</v>
      </c>
    </row>
    <row r="12" customFormat="false" ht="15" hidden="false" customHeight="false" outlineLevel="0" collapsed="false">
      <c r="B12" s="30"/>
      <c r="C12" s="17"/>
      <c r="D12" s="17"/>
      <c r="E12" s="26"/>
      <c r="G12" s="11" t="str">
        <f aca="false">IF(Setup!E10="","",Setup!E10)</f>
        <v>Rent or mortgage</v>
      </c>
      <c r="H12" s="22" t="n">
        <f aca="false">IF(G12="","",Setup!G10)</f>
        <v>1400</v>
      </c>
      <c r="I12" s="22" t="n">
        <f aca="false">IF(G12="","",SUMIFS($E$7:$E$86,$D$7:$D$86,G12))</f>
        <v>0</v>
      </c>
      <c r="J12" s="22" t="n">
        <f aca="false">IF(G12="","",H12-I12)</f>
        <v>1400</v>
      </c>
      <c r="K12" s="33" t="n">
        <f aca="false">IF(OR(G12="",H12=0),"",I12/H12)</f>
        <v>0</v>
      </c>
    </row>
    <row r="13" customFormat="false" ht="15" hidden="false" customHeight="false" outlineLevel="0" collapsed="false">
      <c r="B13" s="30"/>
      <c r="C13" s="17"/>
      <c r="D13" s="17"/>
      <c r="E13" s="26"/>
      <c r="G13" s="11" t="str">
        <f aca="false">IF(Setup!E11="","",Setup!E11)</f>
        <v>Utilities</v>
      </c>
      <c r="H13" s="22" t="n">
        <f aca="false">IF(G13="","",Setup!G11)</f>
        <v>180</v>
      </c>
      <c r="I13" s="22" t="n">
        <f aca="false">IF(G13="","",SUMIFS($E$7:$E$86,$D$7:$D$86,G13))</f>
        <v>0</v>
      </c>
      <c r="J13" s="22" t="n">
        <f aca="false">IF(G13="","",H13-I13)</f>
        <v>180</v>
      </c>
      <c r="K13" s="33" t="n">
        <f aca="false">IF(OR(G13="",H13=0),"",I13/H13)</f>
        <v>0</v>
      </c>
    </row>
    <row r="14" customFormat="false" ht="15" hidden="false" customHeight="false" outlineLevel="0" collapsed="false">
      <c r="B14" s="30"/>
      <c r="C14" s="17"/>
      <c r="D14" s="17"/>
      <c r="E14" s="26"/>
      <c r="G14" s="11" t="str">
        <f aca="false">IF(Setup!E12="","",Setup!E12)</f>
        <v>Groceries</v>
      </c>
      <c r="H14" s="22" t="n">
        <f aca="false">IF(G14="","",Setup!G12)</f>
        <v>500</v>
      </c>
      <c r="I14" s="22" t="n">
        <f aca="false">IF(G14="","",SUMIFS($E$7:$E$86,$D$7:$D$86,G14))</f>
        <v>0</v>
      </c>
      <c r="J14" s="22" t="n">
        <f aca="false">IF(G14="","",H14-I14)</f>
        <v>500</v>
      </c>
      <c r="K14" s="33" t="n">
        <f aca="false">IF(OR(G14="",H14=0),"",I14/H14)</f>
        <v>0</v>
      </c>
    </row>
    <row r="15" customFormat="false" ht="15" hidden="false" customHeight="false" outlineLevel="0" collapsed="false">
      <c r="B15" s="30"/>
      <c r="C15" s="17"/>
      <c r="D15" s="17"/>
      <c r="E15" s="26"/>
      <c r="G15" s="11" t="str">
        <f aca="false">IF(Setup!E13="","",Setup!E13)</f>
        <v>Transport</v>
      </c>
      <c r="H15" s="22" t="n">
        <f aca="false">IF(G15="","",Setup!G13)</f>
        <v>220</v>
      </c>
      <c r="I15" s="22" t="n">
        <f aca="false">IF(G15="","",SUMIFS($E$7:$E$86,$D$7:$D$86,G15))</f>
        <v>0</v>
      </c>
      <c r="J15" s="22" t="n">
        <f aca="false">IF(G15="","",H15-I15)</f>
        <v>220</v>
      </c>
      <c r="K15" s="33" t="n">
        <f aca="false">IF(OR(G15="",H15=0),"",I15/H15)</f>
        <v>0</v>
      </c>
    </row>
    <row r="16" customFormat="false" ht="15" hidden="false" customHeight="false" outlineLevel="0" collapsed="false">
      <c r="B16" s="30"/>
      <c r="C16" s="17"/>
      <c r="D16" s="17"/>
      <c r="E16" s="26"/>
      <c r="G16" s="11" t="str">
        <f aca="false">IF(Setup!E14="","",Setup!E14)</f>
        <v>Insurance</v>
      </c>
      <c r="H16" s="22" t="n">
        <f aca="false">IF(G16="","",Setup!G14)</f>
        <v>160</v>
      </c>
      <c r="I16" s="22" t="n">
        <f aca="false">IF(G16="","",SUMIFS($E$7:$E$86,$D$7:$D$86,G16))</f>
        <v>0</v>
      </c>
      <c r="J16" s="22" t="n">
        <f aca="false">IF(G16="","",H16-I16)</f>
        <v>160</v>
      </c>
      <c r="K16" s="33" t="n">
        <f aca="false">IF(OR(G16="",H16=0),"",I16/H16)</f>
        <v>0</v>
      </c>
    </row>
    <row r="17" customFormat="false" ht="15" hidden="false" customHeight="false" outlineLevel="0" collapsed="false">
      <c r="B17" s="30"/>
      <c r="C17" s="17"/>
      <c r="D17" s="17"/>
      <c r="E17" s="26"/>
      <c r="G17" s="11" t="str">
        <f aca="false">IF(Setup!E15="","",Setup!E15)</f>
        <v>Phone and internet</v>
      </c>
      <c r="H17" s="22" t="n">
        <f aca="false">IF(G17="","",Setup!G15)</f>
        <v>95</v>
      </c>
      <c r="I17" s="22" t="n">
        <f aca="false">IF(G17="","",SUMIFS($E$7:$E$86,$D$7:$D$86,G17))</f>
        <v>0</v>
      </c>
      <c r="J17" s="22" t="n">
        <f aca="false">IF(G17="","",H17-I17)</f>
        <v>95</v>
      </c>
      <c r="K17" s="33" t="n">
        <f aca="false">IF(OR(G17="",H17=0),"",I17/H17)</f>
        <v>0</v>
      </c>
    </row>
    <row r="18" customFormat="false" ht="15" hidden="false" customHeight="false" outlineLevel="0" collapsed="false">
      <c r="B18" s="30"/>
      <c r="C18" s="17"/>
      <c r="D18" s="17"/>
      <c r="E18" s="26"/>
      <c r="G18" s="11" t="str">
        <f aca="false">IF(Setup!E16="","",Setup!E16)</f>
        <v>Medical</v>
      </c>
      <c r="H18" s="22" t="n">
        <f aca="false">IF(G18="","",Setup!G16)</f>
        <v>60</v>
      </c>
      <c r="I18" s="22" t="n">
        <f aca="false">IF(G18="","",SUMIFS($E$7:$E$86,$D$7:$D$86,G18))</f>
        <v>0</v>
      </c>
      <c r="J18" s="22" t="n">
        <f aca="false">IF(G18="","",H18-I18)</f>
        <v>60</v>
      </c>
      <c r="K18" s="33" t="n">
        <f aca="false">IF(OR(G18="",H18=0),"",I18/H18)</f>
        <v>0</v>
      </c>
    </row>
    <row r="19" customFormat="false" ht="15" hidden="false" customHeight="false" outlineLevel="0" collapsed="false">
      <c r="B19" s="30"/>
      <c r="C19" s="17"/>
      <c r="D19" s="17"/>
      <c r="E19" s="26"/>
      <c r="G19" s="11" t="str">
        <f aca="false">IF(Setup!E17="","",Setup!E17)</f>
        <v>Eating out</v>
      </c>
      <c r="H19" s="22" t="n">
        <f aca="false">IF(G19="","",Setup!G17)</f>
        <v>150</v>
      </c>
      <c r="I19" s="22" t="n">
        <f aca="false">IF(G19="","",SUMIFS($E$7:$E$86,$D$7:$D$86,G19))</f>
        <v>0</v>
      </c>
      <c r="J19" s="22" t="n">
        <f aca="false">IF(G19="","",H19-I19)</f>
        <v>150</v>
      </c>
      <c r="K19" s="33" t="n">
        <f aca="false">IF(OR(G19="",H19=0),"",I19/H19)</f>
        <v>0</v>
      </c>
    </row>
    <row r="20" customFormat="false" ht="15" hidden="false" customHeight="false" outlineLevel="0" collapsed="false">
      <c r="B20" s="30"/>
      <c r="C20" s="17"/>
      <c r="D20" s="17"/>
      <c r="E20" s="26"/>
      <c r="G20" s="11" t="str">
        <f aca="false">IF(Setup!E18="","",Setup!E18)</f>
        <v>Shopping</v>
      </c>
      <c r="H20" s="22" t="n">
        <f aca="false">IF(G20="","",Setup!G18)</f>
        <v>120</v>
      </c>
      <c r="I20" s="22" t="n">
        <f aca="false">IF(G20="","",SUMIFS($E$7:$E$86,$D$7:$D$86,G20))</f>
        <v>0</v>
      </c>
      <c r="J20" s="22" t="n">
        <f aca="false">IF(G20="","",H20-I20)</f>
        <v>120</v>
      </c>
      <c r="K20" s="33" t="n">
        <f aca="false">IF(OR(G20="",H20=0),"",I20/H20)</f>
        <v>0</v>
      </c>
    </row>
    <row r="21" customFormat="false" ht="15" hidden="false" customHeight="false" outlineLevel="0" collapsed="false">
      <c r="B21" s="30"/>
      <c r="C21" s="17"/>
      <c r="D21" s="17"/>
      <c r="E21" s="26"/>
      <c r="G21" s="11" t="str">
        <f aca="false">IF(Setup!E19="","",Setup!E19)</f>
        <v>Subscriptions</v>
      </c>
      <c r="H21" s="22" t="n">
        <f aca="false">IF(G21="","",Setup!G19)</f>
        <v>45</v>
      </c>
      <c r="I21" s="22" t="n">
        <f aca="false">IF(G21="","",SUMIFS($E$7:$E$86,$D$7:$D$86,G21))</f>
        <v>0</v>
      </c>
      <c r="J21" s="22" t="n">
        <f aca="false">IF(G21="","",H21-I21)</f>
        <v>45</v>
      </c>
      <c r="K21" s="33" t="n">
        <f aca="false">IF(OR(G21="",H21=0),"",I21/H21)</f>
        <v>0</v>
      </c>
    </row>
    <row r="22" customFormat="false" ht="15" hidden="false" customHeight="false" outlineLevel="0" collapsed="false">
      <c r="B22" s="30"/>
      <c r="C22" s="17"/>
      <c r="D22" s="17"/>
      <c r="E22" s="26"/>
      <c r="G22" s="11" t="str">
        <f aca="false">IF(Setup!E20="","",Setup!E20)</f>
        <v>Fun</v>
      </c>
      <c r="H22" s="22" t="n">
        <f aca="false">IF(G22="","",Setup!G20)</f>
        <v>100</v>
      </c>
      <c r="I22" s="22" t="n">
        <f aca="false">IF(G22="","",SUMIFS($E$7:$E$86,$D$7:$D$86,G22))</f>
        <v>0</v>
      </c>
      <c r="J22" s="22" t="n">
        <f aca="false">IF(G22="","",H22-I22)</f>
        <v>100</v>
      </c>
      <c r="K22" s="33" t="n">
        <f aca="false">IF(OR(G22="",H22=0),"",I22/H22)</f>
        <v>0</v>
      </c>
    </row>
    <row r="23" customFormat="false" ht="15" hidden="false" customHeight="false" outlineLevel="0" collapsed="false">
      <c r="B23" s="30"/>
      <c r="C23" s="17"/>
      <c r="D23" s="17"/>
      <c r="E23" s="26"/>
      <c r="G23" s="11" t="str">
        <f aca="false">IF(Setup!E21="","",Setup!E21)</f>
        <v>Gifts</v>
      </c>
      <c r="H23" s="22" t="n">
        <f aca="false">IF(G23="","",Setup!G21)</f>
        <v>40</v>
      </c>
      <c r="I23" s="22" t="n">
        <f aca="false">IF(G23="","",SUMIFS($E$7:$E$86,$D$7:$D$86,G23))</f>
        <v>0</v>
      </c>
      <c r="J23" s="22" t="n">
        <f aca="false">IF(G23="","",H23-I23)</f>
        <v>40</v>
      </c>
      <c r="K23" s="33" t="n">
        <f aca="false">IF(OR(G23="",H23=0),"",I23/H23)</f>
        <v>0</v>
      </c>
    </row>
    <row r="24" customFormat="false" ht="15" hidden="false" customHeight="false" outlineLevel="0" collapsed="false">
      <c r="B24" s="30"/>
      <c r="C24" s="17"/>
      <c r="D24" s="17"/>
      <c r="E24" s="26"/>
      <c r="G24" s="11" t="str">
        <f aca="false">IF(Setup!E22="","",Setup!E22)</f>
        <v>Personal care</v>
      </c>
      <c r="H24" s="22" t="n">
        <f aca="false">IF(G24="","",Setup!G22)</f>
        <v>50</v>
      </c>
      <c r="I24" s="22" t="n">
        <f aca="false">IF(G24="","",SUMIFS($E$7:$E$86,$D$7:$D$86,G24))</f>
        <v>0</v>
      </c>
      <c r="J24" s="22" t="n">
        <f aca="false">IF(G24="","",H24-I24)</f>
        <v>50</v>
      </c>
      <c r="K24" s="33" t="n">
        <f aca="false">IF(OR(G24="",H24=0),"",I24/H24)</f>
        <v>0</v>
      </c>
    </row>
    <row r="25" customFormat="false" ht="15" hidden="false" customHeight="false" outlineLevel="0" collapsed="false">
      <c r="B25" s="30"/>
      <c r="C25" s="17"/>
      <c r="D25" s="17"/>
      <c r="E25" s="26"/>
      <c r="G25" s="11" t="str">
        <f aca="false">IF(Setup!E23="","",Setup!E23)</f>
        <v>Emergency fund</v>
      </c>
      <c r="H25" s="22" t="n">
        <f aca="false">IF(G25="","",Setup!G23)</f>
        <v>200</v>
      </c>
      <c r="I25" s="22" t="n">
        <f aca="false">IF(G25="","",SUMIFS($E$7:$E$86,$D$7:$D$86,G25))</f>
        <v>0</v>
      </c>
      <c r="J25" s="22" t="n">
        <f aca="false">IF(G25="","",H25-I25)</f>
        <v>200</v>
      </c>
      <c r="K25" s="33" t="n">
        <f aca="false">IF(OR(G25="",H25=0),"",I25/H25)</f>
        <v>0</v>
      </c>
    </row>
    <row r="26" customFormat="false" ht="15" hidden="false" customHeight="false" outlineLevel="0" collapsed="false">
      <c r="B26" s="30"/>
      <c r="C26" s="17"/>
      <c r="D26" s="17"/>
      <c r="E26" s="26"/>
      <c r="G26" s="11" t="str">
        <f aca="false">IF(Setup!E24="","",Setup!E24)</f>
        <v>Sinking funds</v>
      </c>
      <c r="H26" s="22" t="n">
        <f aca="false">IF(G26="","",Setup!G24)</f>
        <v>100</v>
      </c>
      <c r="I26" s="22" t="n">
        <f aca="false">IF(G26="","",SUMIFS($E$7:$E$86,$D$7:$D$86,G26))</f>
        <v>0</v>
      </c>
      <c r="J26" s="22" t="n">
        <f aca="false">IF(G26="","",H26-I26)</f>
        <v>100</v>
      </c>
      <c r="K26" s="33" t="n">
        <f aca="false">IF(OR(G26="",H26=0),"",I26/H26)</f>
        <v>0</v>
      </c>
    </row>
    <row r="27" customFormat="false" ht="15" hidden="false" customHeight="false" outlineLevel="0" collapsed="false">
      <c r="B27" s="30"/>
      <c r="C27" s="17"/>
      <c r="D27" s="17"/>
      <c r="E27" s="26"/>
      <c r="G27" s="11" t="str">
        <f aca="false">IF(Setup!E25="","",Setup!E25)</f>
        <v>Retirement</v>
      </c>
      <c r="H27" s="22" t="n">
        <f aca="false">IF(G27="","",Setup!G25)</f>
        <v>150</v>
      </c>
      <c r="I27" s="22" t="n">
        <f aca="false">IF(G27="","",SUMIFS($E$7:$E$86,$D$7:$D$86,G27))</f>
        <v>0</v>
      </c>
      <c r="J27" s="22" t="n">
        <f aca="false">IF(G27="","",H27-I27)</f>
        <v>150</v>
      </c>
      <c r="K27" s="33" t="n">
        <f aca="false">IF(OR(G27="",H27=0),"",I27/H27)</f>
        <v>0</v>
      </c>
    </row>
    <row r="28" customFormat="false" ht="15" hidden="false" customHeight="false" outlineLevel="0" collapsed="false">
      <c r="B28" s="30"/>
      <c r="C28" s="17"/>
      <c r="D28" s="17"/>
      <c r="E28" s="26"/>
      <c r="G28" s="11" t="str">
        <f aca="false">IF(Setup!E26="","",Setup!E26)</f>
        <v>Credit card</v>
      </c>
      <c r="H28" s="22" t="n">
        <f aca="false">IF(G28="","",Setup!G26)</f>
        <v>150</v>
      </c>
      <c r="I28" s="22" t="n">
        <f aca="false">IF(G28="","",SUMIFS($E$7:$E$86,$D$7:$D$86,G28))</f>
        <v>0</v>
      </c>
      <c r="J28" s="22" t="n">
        <f aca="false">IF(G28="","",H28-I28)</f>
        <v>150</v>
      </c>
      <c r="K28" s="33" t="n">
        <f aca="false">IF(OR(G28="",H28=0),"",I28/H28)</f>
        <v>0</v>
      </c>
    </row>
    <row r="29" customFormat="false" ht="15" hidden="false" customHeight="false" outlineLevel="0" collapsed="false">
      <c r="B29" s="30"/>
      <c r="C29" s="17"/>
      <c r="D29" s="17"/>
      <c r="E29" s="26"/>
      <c r="G29" s="11" t="str">
        <f aca="false">IF(Setup!E27="","",Setup!E27)</f>
        <v>Student loan</v>
      </c>
      <c r="H29" s="22" t="n">
        <f aca="false">IF(G29="","",Setup!G27)</f>
        <v>180</v>
      </c>
      <c r="I29" s="22" t="n">
        <f aca="false">IF(G29="","",SUMIFS($E$7:$E$86,$D$7:$D$86,G29))</f>
        <v>0</v>
      </c>
      <c r="J29" s="22" t="n">
        <f aca="false">IF(G29="","",H29-I29)</f>
        <v>180</v>
      </c>
      <c r="K29" s="33" t="n">
        <f aca="false">IF(OR(G29="",H29=0),"",I29/H29)</f>
        <v>0</v>
      </c>
    </row>
    <row r="30" customFormat="false" ht="15" hidden="false" customHeight="false" outlineLevel="0" collapsed="false">
      <c r="B30" s="30"/>
      <c r="C30" s="17"/>
      <c r="D30" s="17"/>
      <c r="E30" s="26"/>
      <c r="G30" s="11" t="str">
        <f aca="false">IF(Setup!E28="","",Setup!E28)</f>
        <v/>
      </c>
      <c r="H30" s="22" t="str">
        <f aca="false">IF(G30="","",Setup!G28)</f>
        <v/>
      </c>
      <c r="I30" s="22" t="str">
        <f aca="false">IF(G30="","",SUMIFS($E$7:$E$86,$D$7:$D$86,G30))</f>
        <v/>
      </c>
      <c r="J30" s="22" t="str">
        <f aca="false">IF(G30="","",H30-I30)</f>
        <v/>
      </c>
      <c r="K30" s="33" t="str">
        <f aca="false">IF(OR(G30="",H30=0),"",I30/H30)</f>
        <v/>
      </c>
    </row>
    <row r="31" customFormat="false" ht="15" hidden="false" customHeight="false" outlineLevel="0" collapsed="false">
      <c r="B31" s="30"/>
      <c r="C31" s="17"/>
      <c r="D31" s="17"/>
      <c r="E31" s="26"/>
      <c r="G31" s="11" t="str">
        <f aca="false">IF(Setup!E29="","",Setup!E29)</f>
        <v/>
      </c>
      <c r="H31" s="22" t="str">
        <f aca="false">IF(G31="","",Setup!G29)</f>
        <v/>
      </c>
      <c r="I31" s="22" t="str">
        <f aca="false">IF(G31="","",SUMIFS($E$7:$E$86,$D$7:$D$86,G31))</f>
        <v/>
      </c>
      <c r="J31" s="22" t="str">
        <f aca="false">IF(G31="","",H31-I31)</f>
        <v/>
      </c>
      <c r="K31" s="33" t="str">
        <f aca="false">IF(OR(G31="",H31=0),"",I31/H31)</f>
        <v/>
      </c>
    </row>
    <row r="32" customFormat="false" ht="15" hidden="false" customHeight="false" outlineLevel="0" collapsed="false">
      <c r="B32" s="30"/>
      <c r="C32" s="17"/>
      <c r="D32" s="17"/>
      <c r="E32" s="26"/>
      <c r="G32" s="11" t="str">
        <f aca="false">IF(Setup!E30="","",Setup!E30)</f>
        <v/>
      </c>
      <c r="H32" s="22" t="str">
        <f aca="false">IF(G32="","",Setup!G30)</f>
        <v/>
      </c>
      <c r="I32" s="22" t="str">
        <f aca="false">IF(G32="","",SUMIFS($E$7:$E$86,$D$7:$D$86,G32))</f>
        <v/>
      </c>
      <c r="J32" s="22" t="str">
        <f aca="false">IF(G32="","",H32-I32)</f>
        <v/>
      </c>
      <c r="K32" s="33" t="str">
        <f aca="false">IF(OR(G32="",H32=0),"",I32/H32)</f>
        <v/>
      </c>
    </row>
    <row r="33" customFormat="false" ht="15" hidden="false" customHeight="false" outlineLevel="0" collapsed="false">
      <c r="B33" s="30"/>
      <c r="C33" s="17"/>
      <c r="D33" s="17"/>
      <c r="E33" s="26"/>
      <c r="G33" s="11" t="str">
        <f aca="false">IF(Setup!E31="","",Setup!E31)</f>
        <v/>
      </c>
      <c r="H33" s="22" t="str">
        <f aca="false">IF(G33="","",Setup!G31)</f>
        <v/>
      </c>
      <c r="I33" s="22" t="str">
        <f aca="false">IF(G33="","",SUMIFS($E$7:$E$86,$D$7:$D$86,G33))</f>
        <v/>
      </c>
      <c r="J33" s="22" t="str">
        <f aca="false">IF(G33="","",H33-I33)</f>
        <v/>
      </c>
      <c r="K33" s="33" t="str">
        <f aca="false">IF(OR(G33="",H33=0),"",I33/H33)</f>
        <v/>
      </c>
    </row>
    <row r="34" customFormat="false" ht="15" hidden="false" customHeight="false" outlineLevel="0" collapsed="false">
      <c r="B34" s="30"/>
      <c r="C34" s="17"/>
      <c r="D34" s="17"/>
      <c r="E34" s="26"/>
      <c r="G34" s="11" t="str">
        <f aca="false">IF(Setup!E32="","",Setup!E32)</f>
        <v/>
      </c>
      <c r="H34" s="22" t="str">
        <f aca="false">IF(G34="","",Setup!G32)</f>
        <v/>
      </c>
      <c r="I34" s="22" t="str">
        <f aca="false">IF(G34="","",SUMIFS($E$7:$E$86,$D$7:$D$86,G34))</f>
        <v/>
      </c>
      <c r="J34" s="22" t="str">
        <f aca="false">IF(G34="","",H34-I34)</f>
        <v/>
      </c>
      <c r="K34" s="33" t="str">
        <f aca="false">IF(OR(G34="",H34=0),"",I34/H34)</f>
        <v/>
      </c>
    </row>
    <row r="35" customFormat="false" ht="15" hidden="false" customHeight="false" outlineLevel="0" collapsed="false">
      <c r="B35" s="30"/>
      <c r="C35" s="17"/>
      <c r="D35" s="17"/>
      <c r="E35" s="26"/>
      <c r="G35" s="11" t="str">
        <f aca="false">IF(Setup!E33="","",Setup!E33)</f>
        <v/>
      </c>
      <c r="H35" s="22" t="str">
        <f aca="false">IF(G35="","",Setup!G33)</f>
        <v/>
      </c>
      <c r="I35" s="22" t="str">
        <f aca="false">IF(G35="","",SUMIFS($E$7:$E$86,$D$7:$D$86,G35))</f>
        <v/>
      </c>
      <c r="J35" s="22" t="str">
        <f aca="false">IF(G35="","",H35-I35)</f>
        <v/>
      </c>
      <c r="K35" s="33" t="str">
        <f aca="false">IF(OR(G35="",H35=0),"",I35/H35)</f>
        <v/>
      </c>
    </row>
    <row r="36" customFormat="false" ht="15" hidden="false" customHeight="false" outlineLevel="0" collapsed="false">
      <c r="B36" s="30"/>
      <c r="C36" s="17"/>
      <c r="D36" s="17"/>
      <c r="E36" s="26"/>
      <c r="G36" s="11" t="str">
        <f aca="false">IF(Setup!E34="","",Setup!E34)</f>
        <v/>
      </c>
      <c r="H36" s="22" t="str">
        <f aca="false">IF(G36="","",Setup!G34)</f>
        <v/>
      </c>
      <c r="I36" s="22" t="str">
        <f aca="false">IF(G36="","",SUMIFS($E$7:$E$86,$D$7:$D$86,G36))</f>
        <v/>
      </c>
      <c r="J36" s="22" t="str">
        <f aca="false">IF(G36="","",H36-I36)</f>
        <v/>
      </c>
      <c r="K36" s="33" t="str">
        <f aca="false">IF(OR(G36="",H36=0),"",I36/H36)</f>
        <v/>
      </c>
    </row>
    <row r="37" customFormat="false" ht="15" hidden="false" customHeight="false" outlineLevel="0" collapsed="false">
      <c r="B37" s="30"/>
      <c r="C37" s="17"/>
      <c r="D37" s="17"/>
      <c r="E37" s="26"/>
      <c r="G37" s="11" t="str">
        <f aca="false">IF(Setup!E35="","",Setup!E35)</f>
        <v/>
      </c>
      <c r="H37" s="22" t="str">
        <f aca="false">IF(G37="","",Setup!G35)</f>
        <v/>
      </c>
      <c r="I37" s="22" t="str">
        <f aca="false">IF(G37="","",SUMIFS($E$7:$E$86,$D$7:$D$86,G37))</f>
        <v/>
      </c>
      <c r="J37" s="22" t="str">
        <f aca="false">IF(G37="","",H37-I37)</f>
        <v/>
      </c>
      <c r="K37" s="33" t="str">
        <f aca="false">IF(OR(G37="",H37=0),"",I37/H37)</f>
        <v/>
      </c>
    </row>
    <row r="38" customFormat="false" ht="15" hidden="false" customHeight="false" outlineLevel="0" collapsed="false">
      <c r="B38" s="30"/>
      <c r="C38" s="17"/>
      <c r="D38" s="17"/>
      <c r="E38" s="26"/>
      <c r="G38" s="11" t="str">
        <f aca="false">IF(Setup!E36="","",Setup!E36)</f>
        <v/>
      </c>
      <c r="H38" s="22" t="str">
        <f aca="false">IF(G38="","",Setup!G36)</f>
        <v/>
      </c>
      <c r="I38" s="22" t="str">
        <f aca="false">IF(G38="","",SUMIFS($E$7:$E$86,$D$7:$D$86,G38))</f>
        <v/>
      </c>
      <c r="J38" s="22" t="str">
        <f aca="false">IF(G38="","",H38-I38)</f>
        <v/>
      </c>
      <c r="K38" s="33" t="str">
        <f aca="false">IF(OR(G38="",H38=0),"",I38/H38)</f>
        <v/>
      </c>
    </row>
    <row r="39" customFormat="false" ht="15" hidden="false" customHeight="false" outlineLevel="0" collapsed="false">
      <c r="B39" s="30"/>
      <c r="C39" s="17"/>
      <c r="D39" s="17"/>
      <c r="E39" s="26"/>
      <c r="G39" s="11" t="str">
        <f aca="false">IF(Setup!E37="","",Setup!E37)</f>
        <v/>
      </c>
      <c r="H39" s="22" t="str">
        <f aca="false">IF(G39="","",Setup!G37)</f>
        <v/>
      </c>
      <c r="I39" s="22" t="str">
        <f aca="false">IF(G39="","",SUMIFS($E$7:$E$86,$D$7:$D$86,G39))</f>
        <v/>
      </c>
      <c r="J39" s="22" t="str">
        <f aca="false">IF(G39="","",H39-I39)</f>
        <v/>
      </c>
      <c r="K39" s="33" t="str">
        <f aca="false">IF(OR(G39="",H39=0),"",I39/H39)</f>
        <v/>
      </c>
    </row>
    <row r="40" customFormat="false" ht="15" hidden="false" customHeight="false" outlineLevel="0" collapsed="false">
      <c r="B40" s="30"/>
      <c r="C40" s="17"/>
      <c r="D40" s="17"/>
      <c r="E40" s="26"/>
      <c r="G40" s="11" t="str">
        <f aca="false">IF(Setup!E38="","",Setup!E38)</f>
        <v/>
      </c>
      <c r="H40" s="22" t="str">
        <f aca="false">IF(G40="","",Setup!G38)</f>
        <v/>
      </c>
      <c r="I40" s="22" t="str">
        <f aca="false">IF(G40="","",SUMIFS($E$7:$E$86,$D$7:$D$86,G40))</f>
        <v/>
      </c>
      <c r="J40" s="22" t="str">
        <f aca="false">IF(G40="","",H40-I40)</f>
        <v/>
      </c>
      <c r="K40" s="33" t="str">
        <f aca="false">IF(OR(G40="",H40=0),"",I40/H40)</f>
        <v/>
      </c>
    </row>
    <row r="41" customFormat="false" ht="15" hidden="false" customHeight="false" outlineLevel="0" collapsed="false">
      <c r="B41" s="30"/>
      <c r="C41" s="17"/>
      <c r="D41" s="17"/>
      <c r="E41" s="26"/>
      <c r="G41" s="11" t="str">
        <f aca="false">IF(Setup!E39="","",Setup!E39)</f>
        <v/>
      </c>
      <c r="H41" s="22" t="str">
        <f aca="false">IF(G41="","",Setup!G39)</f>
        <v/>
      </c>
      <c r="I41" s="22" t="str">
        <f aca="false">IF(G41="","",SUMIFS($E$7:$E$86,$D$7:$D$86,G41))</f>
        <v/>
      </c>
      <c r="J41" s="22" t="str">
        <f aca="false">IF(G41="","",H41-I41)</f>
        <v/>
      </c>
      <c r="K41" s="33" t="str">
        <f aca="false">IF(OR(G41="",H41=0),"",I41/H41)</f>
        <v/>
      </c>
    </row>
    <row r="42" customFormat="false" ht="15" hidden="false" customHeight="false" outlineLevel="0" collapsed="false">
      <c r="B42" s="30"/>
      <c r="C42" s="17"/>
      <c r="D42" s="17"/>
      <c r="E42" s="26"/>
    </row>
    <row r="43" customFormat="false" ht="15" hidden="false" customHeight="false" outlineLevel="0" collapsed="false">
      <c r="B43" s="30"/>
      <c r="C43" s="17"/>
      <c r="D43" s="17"/>
      <c r="E43" s="26"/>
    </row>
    <row r="44" customFormat="false" ht="15" hidden="false" customHeight="false" outlineLevel="0" collapsed="false">
      <c r="B44" s="30"/>
      <c r="C44" s="17"/>
      <c r="D44" s="17"/>
      <c r="E44" s="26"/>
    </row>
    <row r="45" customFormat="false" ht="15" hidden="false" customHeight="false" outlineLevel="0" collapsed="false">
      <c r="B45" s="30"/>
      <c r="C45" s="17"/>
      <c r="D45" s="17"/>
      <c r="E45" s="26"/>
    </row>
    <row r="46" customFormat="false" ht="15" hidden="false" customHeight="false" outlineLevel="0" collapsed="false">
      <c r="B46" s="30"/>
      <c r="C46" s="17"/>
      <c r="D46" s="17"/>
      <c r="E46" s="26"/>
    </row>
    <row r="47" customFormat="false" ht="15" hidden="false" customHeight="false" outlineLevel="0" collapsed="false">
      <c r="B47" s="30"/>
      <c r="C47" s="17"/>
      <c r="D47" s="17"/>
      <c r="E47" s="26"/>
    </row>
    <row r="48" customFormat="false" ht="15" hidden="false" customHeight="false" outlineLevel="0" collapsed="false">
      <c r="B48" s="30"/>
      <c r="C48" s="17"/>
      <c r="D48" s="17"/>
      <c r="E48" s="26"/>
    </row>
    <row r="49" customFormat="false" ht="15" hidden="false" customHeight="false" outlineLevel="0" collapsed="false">
      <c r="B49" s="30"/>
      <c r="C49" s="17"/>
      <c r="D49" s="17"/>
      <c r="E49" s="26"/>
    </row>
    <row r="50" customFormat="false" ht="15" hidden="false" customHeight="false" outlineLevel="0" collapsed="false">
      <c r="B50" s="30"/>
      <c r="C50" s="17"/>
      <c r="D50" s="17"/>
      <c r="E50" s="26"/>
    </row>
    <row r="51" customFormat="false" ht="15" hidden="false" customHeight="false" outlineLevel="0" collapsed="false">
      <c r="B51" s="30"/>
      <c r="C51" s="17"/>
      <c r="D51" s="17"/>
      <c r="E51" s="26"/>
    </row>
    <row r="52" customFormat="false" ht="15" hidden="false" customHeight="false" outlineLevel="0" collapsed="false">
      <c r="B52" s="30"/>
      <c r="C52" s="17"/>
      <c r="D52" s="17"/>
      <c r="E52" s="26"/>
    </row>
    <row r="53" customFormat="false" ht="15" hidden="false" customHeight="false" outlineLevel="0" collapsed="false">
      <c r="B53" s="30"/>
      <c r="C53" s="17"/>
      <c r="D53" s="17"/>
      <c r="E53" s="26"/>
    </row>
    <row r="54" customFormat="false" ht="15" hidden="false" customHeight="false" outlineLevel="0" collapsed="false">
      <c r="B54" s="30"/>
      <c r="C54" s="17"/>
      <c r="D54" s="17"/>
      <c r="E54" s="26"/>
    </row>
    <row r="55" customFormat="false" ht="15" hidden="false" customHeight="false" outlineLevel="0" collapsed="false">
      <c r="B55" s="30"/>
      <c r="C55" s="17"/>
      <c r="D55" s="17"/>
      <c r="E55" s="26"/>
    </row>
    <row r="56" customFormat="false" ht="15" hidden="false" customHeight="false" outlineLevel="0" collapsed="false">
      <c r="B56" s="30"/>
      <c r="C56" s="17"/>
      <c r="D56" s="17"/>
      <c r="E56" s="26"/>
    </row>
    <row r="57" customFormat="false" ht="15" hidden="false" customHeight="false" outlineLevel="0" collapsed="false">
      <c r="B57" s="30"/>
      <c r="C57" s="17"/>
      <c r="D57" s="17"/>
      <c r="E57" s="26"/>
    </row>
    <row r="58" customFormat="false" ht="15" hidden="false" customHeight="false" outlineLevel="0" collapsed="false">
      <c r="B58" s="30"/>
      <c r="C58" s="17"/>
      <c r="D58" s="17"/>
      <c r="E58" s="26"/>
    </row>
    <row r="59" customFormat="false" ht="15" hidden="false" customHeight="false" outlineLevel="0" collapsed="false">
      <c r="B59" s="30"/>
      <c r="C59" s="17"/>
      <c r="D59" s="17"/>
      <c r="E59" s="26"/>
    </row>
    <row r="60" customFormat="false" ht="15" hidden="false" customHeight="false" outlineLevel="0" collapsed="false">
      <c r="B60" s="30"/>
      <c r="C60" s="17"/>
      <c r="D60" s="17"/>
      <c r="E60" s="26"/>
    </row>
    <row r="61" customFormat="false" ht="15" hidden="false" customHeight="false" outlineLevel="0" collapsed="false">
      <c r="B61" s="30"/>
      <c r="C61" s="17"/>
      <c r="D61" s="17"/>
      <c r="E61" s="26"/>
    </row>
    <row r="62" customFormat="false" ht="15" hidden="false" customHeight="false" outlineLevel="0" collapsed="false">
      <c r="B62" s="30"/>
      <c r="C62" s="17"/>
      <c r="D62" s="17"/>
      <c r="E62" s="26"/>
    </row>
    <row r="63" customFormat="false" ht="15" hidden="false" customHeight="false" outlineLevel="0" collapsed="false">
      <c r="B63" s="30"/>
      <c r="C63" s="17"/>
      <c r="D63" s="17"/>
      <c r="E63" s="26"/>
    </row>
    <row r="64" customFormat="false" ht="15" hidden="false" customHeight="false" outlineLevel="0" collapsed="false">
      <c r="B64" s="30"/>
      <c r="C64" s="17"/>
      <c r="D64" s="17"/>
      <c r="E64" s="26"/>
    </row>
    <row r="65" customFormat="false" ht="15" hidden="false" customHeight="false" outlineLevel="0" collapsed="false">
      <c r="B65" s="30"/>
      <c r="C65" s="17"/>
      <c r="D65" s="17"/>
      <c r="E65" s="26"/>
    </row>
    <row r="66" customFormat="false" ht="15" hidden="false" customHeight="false" outlineLevel="0" collapsed="false">
      <c r="B66" s="30"/>
      <c r="C66" s="17"/>
      <c r="D66" s="17"/>
      <c r="E66" s="26"/>
    </row>
    <row r="67" customFormat="false" ht="15" hidden="false" customHeight="false" outlineLevel="0" collapsed="false">
      <c r="B67" s="30"/>
      <c r="C67" s="17"/>
      <c r="D67" s="17"/>
      <c r="E67" s="26"/>
    </row>
    <row r="68" customFormat="false" ht="15" hidden="false" customHeight="false" outlineLevel="0" collapsed="false">
      <c r="B68" s="30"/>
      <c r="C68" s="17"/>
      <c r="D68" s="17"/>
      <c r="E68" s="26"/>
    </row>
    <row r="69" customFormat="false" ht="15" hidden="false" customHeight="false" outlineLevel="0" collapsed="false">
      <c r="B69" s="30"/>
      <c r="C69" s="17"/>
      <c r="D69" s="17"/>
      <c r="E69" s="26"/>
    </row>
    <row r="70" customFormat="false" ht="15" hidden="false" customHeight="false" outlineLevel="0" collapsed="false">
      <c r="B70" s="30"/>
      <c r="C70" s="17"/>
      <c r="D70" s="17"/>
      <c r="E70" s="26"/>
    </row>
    <row r="71" customFormat="false" ht="15" hidden="false" customHeight="false" outlineLevel="0" collapsed="false">
      <c r="B71" s="30"/>
      <c r="C71" s="17"/>
      <c r="D71" s="17"/>
      <c r="E71" s="26"/>
    </row>
    <row r="72" customFormat="false" ht="15" hidden="false" customHeight="false" outlineLevel="0" collapsed="false">
      <c r="B72" s="30"/>
      <c r="C72" s="17"/>
      <c r="D72" s="17"/>
      <c r="E72" s="26"/>
    </row>
    <row r="73" customFormat="false" ht="15" hidden="false" customHeight="false" outlineLevel="0" collapsed="false">
      <c r="B73" s="30"/>
      <c r="C73" s="17"/>
      <c r="D73" s="17"/>
      <c r="E73" s="26"/>
    </row>
    <row r="74" customFormat="false" ht="15" hidden="false" customHeight="false" outlineLevel="0" collapsed="false">
      <c r="B74" s="30"/>
      <c r="C74" s="17"/>
      <c r="D74" s="17"/>
      <c r="E74" s="26"/>
    </row>
    <row r="75" customFormat="false" ht="15" hidden="false" customHeight="false" outlineLevel="0" collapsed="false">
      <c r="B75" s="30"/>
      <c r="C75" s="17"/>
      <c r="D75" s="17"/>
      <c r="E75" s="26"/>
    </row>
    <row r="76" customFormat="false" ht="15" hidden="false" customHeight="false" outlineLevel="0" collapsed="false">
      <c r="B76" s="30"/>
      <c r="C76" s="17"/>
      <c r="D76" s="17"/>
      <c r="E76" s="26"/>
    </row>
    <row r="77" customFormat="false" ht="15" hidden="false" customHeight="false" outlineLevel="0" collapsed="false">
      <c r="B77" s="30"/>
      <c r="C77" s="17"/>
      <c r="D77" s="17"/>
      <c r="E77" s="26"/>
    </row>
    <row r="78" customFormat="false" ht="15" hidden="false" customHeight="false" outlineLevel="0" collapsed="false">
      <c r="B78" s="30"/>
      <c r="C78" s="17"/>
      <c r="D78" s="17"/>
      <c r="E78" s="26"/>
    </row>
    <row r="79" customFormat="false" ht="15" hidden="false" customHeight="false" outlineLevel="0" collapsed="false">
      <c r="B79" s="30"/>
      <c r="C79" s="17"/>
      <c r="D79" s="17"/>
      <c r="E79" s="26"/>
    </row>
    <row r="80" customFormat="false" ht="15" hidden="false" customHeight="false" outlineLevel="0" collapsed="false">
      <c r="B80" s="30"/>
      <c r="C80" s="17"/>
      <c r="D80" s="17"/>
      <c r="E80" s="26"/>
    </row>
    <row r="81" customFormat="false" ht="15" hidden="false" customHeight="false" outlineLevel="0" collapsed="false">
      <c r="B81" s="30"/>
      <c r="C81" s="17"/>
      <c r="D81" s="17"/>
      <c r="E81" s="26"/>
    </row>
    <row r="82" customFormat="false" ht="15" hidden="false" customHeight="false" outlineLevel="0" collapsed="false">
      <c r="B82" s="30"/>
      <c r="C82" s="17"/>
      <c r="D82" s="17"/>
      <c r="E82" s="26"/>
    </row>
    <row r="83" customFormat="false" ht="15" hidden="false" customHeight="false" outlineLevel="0" collapsed="false">
      <c r="B83" s="30"/>
      <c r="C83" s="17"/>
      <c r="D83" s="17"/>
      <c r="E83" s="26"/>
    </row>
    <row r="84" customFormat="false" ht="15" hidden="false" customHeight="false" outlineLevel="0" collapsed="false">
      <c r="B84" s="30"/>
      <c r="C84" s="17"/>
      <c r="D84" s="17"/>
      <c r="E84" s="26"/>
    </row>
    <row r="85" customFormat="false" ht="15" hidden="false" customHeight="false" outlineLevel="0" collapsed="false">
      <c r="B85" s="30"/>
      <c r="C85" s="17"/>
      <c r="D85" s="17"/>
      <c r="E85" s="26"/>
    </row>
    <row r="86" customFormat="false" ht="15" hidden="false" customHeight="false" outlineLevel="0" collapsed="false">
      <c r="B86" s="30"/>
      <c r="C86" s="17"/>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K12:K41">
    <cfRule type="dataBar" priority="4">
      <dataBar showValue="1" minLength="10" maxLength="90">
        <cfvo type="num" val="0"/>
        <cfvo type="num" val="1"/>
        <color rgb="FF2F6F5E"/>
      </dataBar>
      <extLst>
        <ext xmlns:x14="http://schemas.microsoft.com/office/spreadsheetml/2009/9/main" uri="{B025F937-C7B1-47D3-B67F-A62EFF666E3E}">
          <x14:id>{708998E1-C340-47E1-B449-9D5344B5571A}</x14:id>
        </ext>
      </extLst>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r:id="rId1" location="'Start%20here'!A1" display="Start here"/>
    <hyperlink ref="C4" r:id="rId2" location="'Dashboard'!A1" display="Dashboard"/>
    <hyperlink ref="D4" r:id="rId3" location="'Setup'!A1" display="Setup"/>
    <hyperlink ref="E4" r:id="rId4" location="'January'!A1" display="Months"/>
    <hyperlink ref="F4" r:id="rId5" location="'Bills'!A1" display="Bills"/>
    <hyperlink ref="G4" r:id="rId6" location="'Paycheck%20plan'!A1" display="Paycheck"/>
    <hyperlink ref="H4" r:id="rId7" location="'Debt%20payoff'!A1" display="Debt"/>
    <hyperlink ref="I4" r:id="rId8" location="'Savings%20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708998E1-C340-47E1-B449-9D5344B5571A}">
            <x14:dataBar minLength="10" maxLength="90" axisPosition="none" gradient="true">
              <x14:cfvo type="num">
                <xm:f>0</xm:f>
              </x14:cfvo>
              <x14:cfvo type="num">
                <xm:f>1</xm:f>
              </x14:cfvo>
              <x14:negativeFillColor rgb="FF2F6F5E"/>
              <x14:axisColor rgb="FF000000"/>
            </x14:dataBar>
          </x14:cfRule>
          <xm:sqref>K12:K41</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K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10"/>
    <col collapsed="false" customWidth="true" hidden="false" outlineLevel="0" max="29" min="12" style="0" width="14"/>
  </cols>
  <sheetData>
    <row r="2" customFormat="false" ht="33.75" hidden="false" customHeight="true" outlineLevel="0" collapsed="false">
      <c r="B2" s="1" t="s">
        <v>21</v>
      </c>
    </row>
    <row r="3" customFormat="false" ht="15" hidden="false" customHeight="false" outlineLevel="0" collapsed="false">
      <c r="B3" s="2" t="s">
        <v>99</v>
      </c>
    </row>
    <row r="4" customFormat="false" ht="15" hidden="false" customHeight="false" outlineLevel="0" collapsed="false">
      <c r="B4" s="3" t="s">
        <v>2</v>
      </c>
      <c r="C4" s="3" t="s">
        <v>3</v>
      </c>
      <c r="D4" s="3" t="s">
        <v>4</v>
      </c>
      <c r="E4" s="3" t="s">
        <v>5</v>
      </c>
      <c r="F4" s="3" t="s">
        <v>6</v>
      </c>
      <c r="G4" s="3" t="s">
        <v>7</v>
      </c>
      <c r="H4" s="3" t="s">
        <v>8</v>
      </c>
      <c r="I4" s="3" t="s">
        <v>9</v>
      </c>
    </row>
    <row r="6" customFormat="false" ht="21.75" hidden="false" customHeight="true" outlineLevel="0" collapsed="false">
      <c r="B6" s="10" t="s">
        <v>100</v>
      </c>
      <c r="C6" s="10" t="s">
        <v>101</v>
      </c>
      <c r="D6" s="10" t="s">
        <v>64</v>
      </c>
      <c r="E6" s="10" t="s">
        <v>102</v>
      </c>
      <c r="G6" s="27" t="s">
        <v>103</v>
      </c>
      <c r="H6" s="28" t="n">
        <f aca="false">Setup!$C$18</f>
        <v>3900</v>
      </c>
      <c r="I6" s="29" t="s">
        <v>104</v>
      </c>
    </row>
    <row r="7" customFormat="false" ht="15" hidden="false" customHeight="false" outlineLevel="0" collapsed="false">
      <c r="B7" s="30"/>
      <c r="C7" s="17"/>
      <c r="D7" s="17"/>
      <c r="E7" s="26"/>
      <c r="G7" s="31" t="s">
        <v>61</v>
      </c>
      <c r="H7" s="32" t="n">
        <f aca="false">SUM(E7:E86)</f>
        <v>0</v>
      </c>
    </row>
    <row r="8" customFormat="false" ht="15" hidden="false" customHeight="false" outlineLevel="0" collapsed="false">
      <c r="B8" s="30"/>
      <c r="C8" s="17"/>
      <c r="D8" s="17"/>
      <c r="E8" s="26"/>
      <c r="G8" s="31" t="s">
        <v>62</v>
      </c>
      <c r="H8" s="32" t="n">
        <f aca="false">H6-H7</f>
        <v>3900</v>
      </c>
    </row>
    <row r="9" customFormat="false" ht="15" hidden="false" customHeight="false" outlineLevel="0" collapsed="false">
      <c r="B9" s="30"/>
      <c r="C9" s="17"/>
      <c r="D9" s="17"/>
      <c r="E9" s="26"/>
      <c r="G9" s="31" t="s">
        <v>108</v>
      </c>
      <c r="H9" s="32" t="n">
        <f aca="false">SUMPRODUCT(SUMIFS($E$7:$E$86,$D$7:$D$86,Setup!$E$10:$E$39)*((Setup!$F$10:$F$39="Savings")+(Setup!$F$10:$F$39="Debt")))</f>
        <v>0</v>
      </c>
    </row>
    <row r="10" customFormat="false" ht="15" hidden="false" customHeight="false" outlineLevel="0" collapsed="false">
      <c r="B10" s="30"/>
      <c r="C10" s="17"/>
      <c r="D10" s="17"/>
      <c r="E10" s="26"/>
    </row>
    <row r="11" customFormat="false" ht="21.75" hidden="false" customHeight="true" outlineLevel="0" collapsed="false">
      <c r="B11" s="30"/>
      <c r="C11" s="17"/>
      <c r="D11" s="17"/>
      <c r="E11" s="26"/>
      <c r="G11" s="10" t="s">
        <v>64</v>
      </c>
      <c r="H11" s="10" t="s">
        <v>110</v>
      </c>
      <c r="I11" s="10" t="s">
        <v>61</v>
      </c>
      <c r="J11" s="10" t="s">
        <v>111</v>
      </c>
      <c r="K11" s="10" t="s">
        <v>112</v>
      </c>
    </row>
    <row r="12" customFormat="false" ht="15" hidden="false" customHeight="false" outlineLevel="0" collapsed="false">
      <c r="B12" s="30"/>
      <c r="C12" s="17"/>
      <c r="D12" s="17"/>
      <c r="E12" s="26"/>
      <c r="G12" s="11" t="str">
        <f aca="false">IF(Setup!E10="","",Setup!E10)</f>
        <v>Rent or mortgage</v>
      </c>
      <c r="H12" s="22" t="n">
        <f aca="false">IF(G12="","",Setup!G10)</f>
        <v>1400</v>
      </c>
      <c r="I12" s="22" t="n">
        <f aca="false">IF(G12="","",SUMIFS($E$7:$E$86,$D$7:$D$86,G12))</f>
        <v>0</v>
      </c>
      <c r="J12" s="22" t="n">
        <f aca="false">IF(G12="","",H12-I12)</f>
        <v>1400</v>
      </c>
      <c r="K12" s="33" t="n">
        <f aca="false">IF(OR(G12="",H12=0),"",I12/H12)</f>
        <v>0</v>
      </c>
    </row>
    <row r="13" customFormat="false" ht="15" hidden="false" customHeight="false" outlineLevel="0" collapsed="false">
      <c r="B13" s="30"/>
      <c r="C13" s="17"/>
      <c r="D13" s="17"/>
      <c r="E13" s="26"/>
      <c r="G13" s="11" t="str">
        <f aca="false">IF(Setup!E11="","",Setup!E11)</f>
        <v>Utilities</v>
      </c>
      <c r="H13" s="22" t="n">
        <f aca="false">IF(G13="","",Setup!G11)</f>
        <v>180</v>
      </c>
      <c r="I13" s="22" t="n">
        <f aca="false">IF(G13="","",SUMIFS($E$7:$E$86,$D$7:$D$86,G13))</f>
        <v>0</v>
      </c>
      <c r="J13" s="22" t="n">
        <f aca="false">IF(G13="","",H13-I13)</f>
        <v>180</v>
      </c>
      <c r="K13" s="33" t="n">
        <f aca="false">IF(OR(G13="",H13=0),"",I13/H13)</f>
        <v>0</v>
      </c>
    </row>
    <row r="14" customFormat="false" ht="15" hidden="false" customHeight="false" outlineLevel="0" collapsed="false">
      <c r="B14" s="30"/>
      <c r="C14" s="17"/>
      <c r="D14" s="17"/>
      <c r="E14" s="26"/>
      <c r="G14" s="11" t="str">
        <f aca="false">IF(Setup!E12="","",Setup!E12)</f>
        <v>Groceries</v>
      </c>
      <c r="H14" s="22" t="n">
        <f aca="false">IF(G14="","",Setup!G12)</f>
        <v>500</v>
      </c>
      <c r="I14" s="22" t="n">
        <f aca="false">IF(G14="","",SUMIFS($E$7:$E$86,$D$7:$D$86,G14))</f>
        <v>0</v>
      </c>
      <c r="J14" s="22" t="n">
        <f aca="false">IF(G14="","",H14-I14)</f>
        <v>500</v>
      </c>
      <c r="K14" s="33" t="n">
        <f aca="false">IF(OR(G14="",H14=0),"",I14/H14)</f>
        <v>0</v>
      </c>
    </row>
    <row r="15" customFormat="false" ht="15" hidden="false" customHeight="false" outlineLevel="0" collapsed="false">
      <c r="B15" s="30"/>
      <c r="C15" s="17"/>
      <c r="D15" s="17"/>
      <c r="E15" s="26"/>
      <c r="G15" s="11" t="str">
        <f aca="false">IF(Setup!E13="","",Setup!E13)</f>
        <v>Transport</v>
      </c>
      <c r="H15" s="22" t="n">
        <f aca="false">IF(G15="","",Setup!G13)</f>
        <v>220</v>
      </c>
      <c r="I15" s="22" t="n">
        <f aca="false">IF(G15="","",SUMIFS($E$7:$E$86,$D$7:$D$86,G15))</f>
        <v>0</v>
      </c>
      <c r="J15" s="22" t="n">
        <f aca="false">IF(G15="","",H15-I15)</f>
        <v>220</v>
      </c>
      <c r="K15" s="33" t="n">
        <f aca="false">IF(OR(G15="",H15=0),"",I15/H15)</f>
        <v>0</v>
      </c>
    </row>
    <row r="16" customFormat="false" ht="15" hidden="false" customHeight="false" outlineLevel="0" collapsed="false">
      <c r="B16" s="30"/>
      <c r="C16" s="17"/>
      <c r="D16" s="17"/>
      <c r="E16" s="26"/>
      <c r="G16" s="11" t="str">
        <f aca="false">IF(Setup!E14="","",Setup!E14)</f>
        <v>Insurance</v>
      </c>
      <c r="H16" s="22" t="n">
        <f aca="false">IF(G16="","",Setup!G14)</f>
        <v>160</v>
      </c>
      <c r="I16" s="22" t="n">
        <f aca="false">IF(G16="","",SUMIFS($E$7:$E$86,$D$7:$D$86,G16))</f>
        <v>0</v>
      </c>
      <c r="J16" s="22" t="n">
        <f aca="false">IF(G16="","",H16-I16)</f>
        <v>160</v>
      </c>
      <c r="K16" s="33" t="n">
        <f aca="false">IF(OR(G16="",H16=0),"",I16/H16)</f>
        <v>0</v>
      </c>
    </row>
    <row r="17" customFormat="false" ht="15" hidden="false" customHeight="false" outlineLevel="0" collapsed="false">
      <c r="B17" s="30"/>
      <c r="C17" s="17"/>
      <c r="D17" s="17"/>
      <c r="E17" s="26"/>
      <c r="G17" s="11" t="str">
        <f aca="false">IF(Setup!E15="","",Setup!E15)</f>
        <v>Phone and internet</v>
      </c>
      <c r="H17" s="22" t="n">
        <f aca="false">IF(G17="","",Setup!G15)</f>
        <v>95</v>
      </c>
      <c r="I17" s="22" t="n">
        <f aca="false">IF(G17="","",SUMIFS($E$7:$E$86,$D$7:$D$86,G17))</f>
        <v>0</v>
      </c>
      <c r="J17" s="22" t="n">
        <f aca="false">IF(G17="","",H17-I17)</f>
        <v>95</v>
      </c>
      <c r="K17" s="33" t="n">
        <f aca="false">IF(OR(G17="",H17=0),"",I17/H17)</f>
        <v>0</v>
      </c>
    </row>
    <row r="18" customFormat="false" ht="15" hidden="false" customHeight="false" outlineLevel="0" collapsed="false">
      <c r="B18" s="30"/>
      <c r="C18" s="17"/>
      <c r="D18" s="17"/>
      <c r="E18" s="26"/>
      <c r="G18" s="11" t="str">
        <f aca="false">IF(Setup!E16="","",Setup!E16)</f>
        <v>Medical</v>
      </c>
      <c r="H18" s="22" t="n">
        <f aca="false">IF(G18="","",Setup!G16)</f>
        <v>60</v>
      </c>
      <c r="I18" s="22" t="n">
        <f aca="false">IF(G18="","",SUMIFS($E$7:$E$86,$D$7:$D$86,G18))</f>
        <v>0</v>
      </c>
      <c r="J18" s="22" t="n">
        <f aca="false">IF(G18="","",H18-I18)</f>
        <v>60</v>
      </c>
      <c r="K18" s="33" t="n">
        <f aca="false">IF(OR(G18="",H18=0),"",I18/H18)</f>
        <v>0</v>
      </c>
    </row>
    <row r="19" customFormat="false" ht="15" hidden="false" customHeight="false" outlineLevel="0" collapsed="false">
      <c r="B19" s="30"/>
      <c r="C19" s="17"/>
      <c r="D19" s="17"/>
      <c r="E19" s="26"/>
      <c r="G19" s="11" t="str">
        <f aca="false">IF(Setup!E17="","",Setup!E17)</f>
        <v>Eating out</v>
      </c>
      <c r="H19" s="22" t="n">
        <f aca="false">IF(G19="","",Setup!G17)</f>
        <v>150</v>
      </c>
      <c r="I19" s="22" t="n">
        <f aca="false">IF(G19="","",SUMIFS($E$7:$E$86,$D$7:$D$86,G19))</f>
        <v>0</v>
      </c>
      <c r="J19" s="22" t="n">
        <f aca="false">IF(G19="","",H19-I19)</f>
        <v>150</v>
      </c>
      <c r="K19" s="33" t="n">
        <f aca="false">IF(OR(G19="",H19=0),"",I19/H19)</f>
        <v>0</v>
      </c>
    </row>
    <row r="20" customFormat="false" ht="15" hidden="false" customHeight="false" outlineLevel="0" collapsed="false">
      <c r="B20" s="30"/>
      <c r="C20" s="17"/>
      <c r="D20" s="17"/>
      <c r="E20" s="26"/>
      <c r="G20" s="11" t="str">
        <f aca="false">IF(Setup!E18="","",Setup!E18)</f>
        <v>Shopping</v>
      </c>
      <c r="H20" s="22" t="n">
        <f aca="false">IF(G20="","",Setup!G18)</f>
        <v>120</v>
      </c>
      <c r="I20" s="22" t="n">
        <f aca="false">IF(G20="","",SUMIFS($E$7:$E$86,$D$7:$D$86,G20))</f>
        <v>0</v>
      </c>
      <c r="J20" s="22" t="n">
        <f aca="false">IF(G20="","",H20-I20)</f>
        <v>120</v>
      </c>
      <c r="K20" s="33" t="n">
        <f aca="false">IF(OR(G20="",H20=0),"",I20/H20)</f>
        <v>0</v>
      </c>
    </row>
    <row r="21" customFormat="false" ht="15" hidden="false" customHeight="false" outlineLevel="0" collapsed="false">
      <c r="B21" s="30"/>
      <c r="C21" s="17"/>
      <c r="D21" s="17"/>
      <c r="E21" s="26"/>
      <c r="G21" s="11" t="str">
        <f aca="false">IF(Setup!E19="","",Setup!E19)</f>
        <v>Subscriptions</v>
      </c>
      <c r="H21" s="22" t="n">
        <f aca="false">IF(G21="","",Setup!G19)</f>
        <v>45</v>
      </c>
      <c r="I21" s="22" t="n">
        <f aca="false">IF(G21="","",SUMIFS($E$7:$E$86,$D$7:$D$86,G21))</f>
        <v>0</v>
      </c>
      <c r="J21" s="22" t="n">
        <f aca="false">IF(G21="","",H21-I21)</f>
        <v>45</v>
      </c>
      <c r="K21" s="33" t="n">
        <f aca="false">IF(OR(G21="",H21=0),"",I21/H21)</f>
        <v>0</v>
      </c>
    </row>
    <row r="22" customFormat="false" ht="15" hidden="false" customHeight="false" outlineLevel="0" collapsed="false">
      <c r="B22" s="30"/>
      <c r="C22" s="17"/>
      <c r="D22" s="17"/>
      <c r="E22" s="26"/>
      <c r="G22" s="11" t="str">
        <f aca="false">IF(Setup!E20="","",Setup!E20)</f>
        <v>Fun</v>
      </c>
      <c r="H22" s="22" t="n">
        <f aca="false">IF(G22="","",Setup!G20)</f>
        <v>100</v>
      </c>
      <c r="I22" s="22" t="n">
        <f aca="false">IF(G22="","",SUMIFS($E$7:$E$86,$D$7:$D$86,G22))</f>
        <v>0</v>
      </c>
      <c r="J22" s="22" t="n">
        <f aca="false">IF(G22="","",H22-I22)</f>
        <v>100</v>
      </c>
      <c r="K22" s="33" t="n">
        <f aca="false">IF(OR(G22="",H22=0),"",I22/H22)</f>
        <v>0</v>
      </c>
    </row>
    <row r="23" customFormat="false" ht="15" hidden="false" customHeight="false" outlineLevel="0" collapsed="false">
      <c r="B23" s="30"/>
      <c r="C23" s="17"/>
      <c r="D23" s="17"/>
      <c r="E23" s="26"/>
      <c r="G23" s="11" t="str">
        <f aca="false">IF(Setup!E21="","",Setup!E21)</f>
        <v>Gifts</v>
      </c>
      <c r="H23" s="22" t="n">
        <f aca="false">IF(G23="","",Setup!G21)</f>
        <v>40</v>
      </c>
      <c r="I23" s="22" t="n">
        <f aca="false">IF(G23="","",SUMIFS($E$7:$E$86,$D$7:$D$86,G23))</f>
        <v>0</v>
      </c>
      <c r="J23" s="22" t="n">
        <f aca="false">IF(G23="","",H23-I23)</f>
        <v>40</v>
      </c>
      <c r="K23" s="33" t="n">
        <f aca="false">IF(OR(G23="",H23=0),"",I23/H23)</f>
        <v>0</v>
      </c>
    </row>
    <row r="24" customFormat="false" ht="15" hidden="false" customHeight="false" outlineLevel="0" collapsed="false">
      <c r="B24" s="30"/>
      <c r="C24" s="17"/>
      <c r="D24" s="17"/>
      <c r="E24" s="26"/>
      <c r="G24" s="11" t="str">
        <f aca="false">IF(Setup!E22="","",Setup!E22)</f>
        <v>Personal care</v>
      </c>
      <c r="H24" s="22" t="n">
        <f aca="false">IF(G24="","",Setup!G22)</f>
        <v>50</v>
      </c>
      <c r="I24" s="22" t="n">
        <f aca="false">IF(G24="","",SUMIFS($E$7:$E$86,$D$7:$D$86,G24))</f>
        <v>0</v>
      </c>
      <c r="J24" s="22" t="n">
        <f aca="false">IF(G24="","",H24-I24)</f>
        <v>50</v>
      </c>
      <c r="K24" s="33" t="n">
        <f aca="false">IF(OR(G24="",H24=0),"",I24/H24)</f>
        <v>0</v>
      </c>
    </row>
    <row r="25" customFormat="false" ht="15" hidden="false" customHeight="false" outlineLevel="0" collapsed="false">
      <c r="B25" s="30"/>
      <c r="C25" s="17"/>
      <c r="D25" s="17"/>
      <c r="E25" s="26"/>
      <c r="G25" s="11" t="str">
        <f aca="false">IF(Setup!E23="","",Setup!E23)</f>
        <v>Emergency fund</v>
      </c>
      <c r="H25" s="22" t="n">
        <f aca="false">IF(G25="","",Setup!G23)</f>
        <v>200</v>
      </c>
      <c r="I25" s="22" t="n">
        <f aca="false">IF(G25="","",SUMIFS($E$7:$E$86,$D$7:$D$86,G25))</f>
        <v>0</v>
      </c>
      <c r="J25" s="22" t="n">
        <f aca="false">IF(G25="","",H25-I25)</f>
        <v>200</v>
      </c>
      <c r="K25" s="33" t="n">
        <f aca="false">IF(OR(G25="",H25=0),"",I25/H25)</f>
        <v>0</v>
      </c>
    </row>
    <row r="26" customFormat="false" ht="15" hidden="false" customHeight="false" outlineLevel="0" collapsed="false">
      <c r="B26" s="30"/>
      <c r="C26" s="17"/>
      <c r="D26" s="17"/>
      <c r="E26" s="26"/>
      <c r="G26" s="11" t="str">
        <f aca="false">IF(Setup!E24="","",Setup!E24)</f>
        <v>Sinking funds</v>
      </c>
      <c r="H26" s="22" t="n">
        <f aca="false">IF(G26="","",Setup!G24)</f>
        <v>100</v>
      </c>
      <c r="I26" s="22" t="n">
        <f aca="false">IF(G26="","",SUMIFS($E$7:$E$86,$D$7:$D$86,G26))</f>
        <v>0</v>
      </c>
      <c r="J26" s="22" t="n">
        <f aca="false">IF(G26="","",H26-I26)</f>
        <v>100</v>
      </c>
      <c r="K26" s="33" t="n">
        <f aca="false">IF(OR(G26="",H26=0),"",I26/H26)</f>
        <v>0</v>
      </c>
    </row>
    <row r="27" customFormat="false" ht="15" hidden="false" customHeight="false" outlineLevel="0" collapsed="false">
      <c r="B27" s="30"/>
      <c r="C27" s="17"/>
      <c r="D27" s="17"/>
      <c r="E27" s="26"/>
      <c r="G27" s="11" t="str">
        <f aca="false">IF(Setup!E25="","",Setup!E25)</f>
        <v>Retirement</v>
      </c>
      <c r="H27" s="22" t="n">
        <f aca="false">IF(G27="","",Setup!G25)</f>
        <v>150</v>
      </c>
      <c r="I27" s="22" t="n">
        <f aca="false">IF(G27="","",SUMIFS($E$7:$E$86,$D$7:$D$86,G27))</f>
        <v>0</v>
      </c>
      <c r="J27" s="22" t="n">
        <f aca="false">IF(G27="","",H27-I27)</f>
        <v>150</v>
      </c>
      <c r="K27" s="33" t="n">
        <f aca="false">IF(OR(G27="",H27=0),"",I27/H27)</f>
        <v>0</v>
      </c>
    </row>
    <row r="28" customFormat="false" ht="15" hidden="false" customHeight="false" outlineLevel="0" collapsed="false">
      <c r="B28" s="30"/>
      <c r="C28" s="17"/>
      <c r="D28" s="17"/>
      <c r="E28" s="26"/>
      <c r="G28" s="11" t="str">
        <f aca="false">IF(Setup!E26="","",Setup!E26)</f>
        <v>Credit card</v>
      </c>
      <c r="H28" s="22" t="n">
        <f aca="false">IF(G28="","",Setup!G26)</f>
        <v>150</v>
      </c>
      <c r="I28" s="22" t="n">
        <f aca="false">IF(G28="","",SUMIFS($E$7:$E$86,$D$7:$D$86,G28))</f>
        <v>0</v>
      </c>
      <c r="J28" s="22" t="n">
        <f aca="false">IF(G28="","",H28-I28)</f>
        <v>150</v>
      </c>
      <c r="K28" s="33" t="n">
        <f aca="false">IF(OR(G28="",H28=0),"",I28/H28)</f>
        <v>0</v>
      </c>
    </row>
    <row r="29" customFormat="false" ht="15" hidden="false" customHeight="false" outlineLevel="0" collapsed="false">
      <c r="B29" s="30"/>
      <c r="C29" s="17"/>
      <c r="D29" s="17"/>
      <c r="E29" s="26"/>
      <c r="G29" s="11" t="str">
        <f aca="false">IF(Setup!E27="","",Setup!E27)</f>
        <v>Student loan</v>
      </c>
      <c r="H29" s="22" t="n">
        <f aca="false">IF(G29="","",Setup!G27)</f>
        <v>180</v>
      </c>
      <c r="I29" s="22" t="n">
        <f aca="false">IF(G29="","",SUMIFS($E$7:$E$86,$D$7:$D$86,G29))</f>
        <v>0</v>
      </c>
      <c r="J29" s="22" t="n">
        <f aca="false">IF(G29="","",H29-I29)</f>
        <v>180</v>
      </c>
      <c r="K29" s="33" t="n">
        <f aca="false">IF(OR(G29="",H29=0),"",I29/H29)</f>
        <v>0</v>
      </c>
    </row>
    <row r="30" customFormat="false" ht="15" hidden="false" customHeight="false" outlineLevel="0" collapsed="false">
      <c r="B30" s="30"/>
      <c r="C30" s="17"/>
      <c r="D30" s="17"/>
      <c r="E30" s="26"/>
      <c r="G30" s="11" t="str">
        <f aca="false">IF(Setup!E28="","",Setup!E28)</f>
        <v/>
      </c>
      <c r="H30" s="22" t="str">
        <f aca="false">IF(G30="","",Setup!G28)</f>
        <v/>
      </c>
      <c r="I30" s="22" t="str">
        <f aca="false">IF(G30="","",SUMIFS($E$7:$E$86,$D$7:$D$86,G30))</f>
        <v/>
      </c>
      <c r="J30" s="22" t="str">
        <f aca="false">IF(G30="","",H30-I30)</f>
        <v/>
      </c>
      <c r="K30" s="33" t="str">
        <f aca="false">IF(OR(G30="",H30=0),"",I30/H30)</f>
        <v/>
      </c>
    </row>
    <row r="31" customFormat="false" ht="15" hidden="false" customHeight="false" outlineLevel="0" collapsed="false">
      <c r="B31" s="30"/>
      <c r="C31" s="17"/>
      <c r="D31" s="17"/>
      <c r="E31" s="26"/>
      <c r="G31" s="11" t="str">
        <f aca="false">IF(Setup!E29="","",Setup!E29)</f>
        <v/>
      </c>
      <c r="H31" s="22" t="str">
        <f aca="false">IF(G31="","",Setup!G29)</f>
        <v/>
      </c>
      <c r="I31" s="22" t="str">
        <f aca="false">IF(G31="","",SUMIFS($E$7:$E$86,$D$7:$D$86,G31))</f>
        <v/>
      </c>
      <c r="J31" s="22" t="str">
        <f aca="false">IF(G31="","",H31-I31)</f>
        <v/>
      </c>
      <c r="K31" s="33" t="str">
        <f aca="false">IF(OR(G31="",H31=0),"",I31/H31)</f>
        <v/>
      </c>
    </row>
    <row r="32" customFormat="false" ht="15" hidden="false" customHeight="false" outlineLevel="0" collapsed="false">
      <c r="B32" s="30"/>
      <c r="C32" s="17"/>
      <c r="D32" s="17"/>
      <c r="E32" s="26"/>
      <c r="G32" s="11" t="str">
        <f aca="false">IF(Setup!E30="","",Setup!E30)</f>
        <v/>
      </c>
      <c r="H32" s="22" t="str">
        <f aca="false">IF(G32="","",Setup!G30)</f>
        <v/>
      </c>
      <c r="I32" s="22" t="str">
        <f aca="false">IF(G32="","",SUMIFS($E$7:$E$86,$D$7:$D$86,G32))</f>
        <v/>
      </c>
      <c r="J32" s="22" t="str">
        <f aca="false">IF(G32="","",H32-I32)</f>
        <v/>
      </c>
      <c r="K32" s="33" t="str">
        <f aca="false">IF(OR(G32="",H32=0),"",I32/H32)</f>
        <v/>
      </c>
    </row>
    <row r="33" customFormat="false" ht="15" hidden="false" customHeight="false" outlineLevel="0" collapsed="false">
      <c r="B33" s="30"/>
      <c r="C33" s="17"/>
      <c r="D33" s="17"/>
      <c r="E33" s="26"/>
      <c r="G33" s="11" t="str">
        <f aca="false">IF(Setup!E31="","",Setup!E31)</f>
        <v/>
      </c>
      <c r="H33" s="22" t="str">
        <f aca="false">IF(G33="","",Setup!G31)</f>
        <v/>
      </c>
      <c r="I33" s="22" t="str">
        <f aca="false">IF(G33="","",SUMIFS($E$7:$E$86,$D$7:$D$86,G33))</f>
        <v/>
      </c>
      <c r="J33" s="22" t="str">
        <f aca="false">IF(G33="","",H33-I33)</f>
        <v/>
      </c>
      <c r="K33" s="33" t="str">
        <f aca="false">IF(OR(G33="",H33=0),"",I33/H33)</f>
        <v/>
      </c>
    </row>
    <row r="34" customFormat="false" ht="15" hidden="false" customHeight="false" outlineLevel="0" collapsed="false">
      <c r="B34" s="30"/>
      <c r="C34" s="17"/>
      <c r="D34" s="17"/>
      <c r="E34" s="26"/>
      <c r="G34" s="11" t="str">
        <f aca="false">IF(Setup!E32="","",Setup!E32)</f>
        <v/>
      </c>
      <c r="H34" s="22" t="str">
        <f aca="false">IF(G34="","",Setup!G32)</f>
        <v/>
      </c>
      <c r="I34" s="22" t="str">
        <f aca="false">IF(G34="","",SUMIFS($E$7:$E$86,$D$7:$D$86,G34))</f>
        <v/>
      </c>
      <c r="J34" s="22" t="str">
        <f aca="false">IF(G34="","",H34-I34)</f>
        <v/>
      </c>
      <c r="K34" s="33" t="str">
        <f aca="false">IF(OR(G34="",H34=0),"",I34/H34)</f>
        <v/>
      </c>
    </row>
    <row r="35" customFormat="false" ht="15" hidden="false" customHeight="false" outlineLevel="0" collapsed="false">
      <c r="B35" s="30"/>
      <c r="C35" s="17"/>
      <c r="D35" s="17"/>
      <c r="E35" s="26"/>
      <c r="G35" s="11" t="str">
        <f aca="false">IF(Setup!E33="","",Setup!E33)</f>
        <v/>
      </c>
      <c r="H35" s="22" t="str">
        <f aca="false">IF(G35="","",Setup!G33)</f>
        <v/>
      </c>
      <c r="I35" s="22" t="str">
        <f aca="false">IF(G35="","",SUMIFS($E$7:$E$86,$D$7:$D$86,G35))</f>
        <v/>
      </c>
      <c r="J35" s="22" t="str">
        <f aca="false">IF(G35="","",H35-I35)</f>
        <v/>
      </c>
      <c r="K35" s="33" t="str">
        <f aca="false">IF(OR(G35="",H35=0),"",I35/H35)</f>
        <v/>
      </c>
    </row>
    <row r="36" customFormat="false" ht="15" hidden="false" customHeight="false" outlineLevel="0" collapsed="false">
      <c r="B36" s="30"/>
      <c r="C36" s="17"/>
      <c r="D36" s="17"/>
      <c r="E36" s="26"/>
      <c r="G36" s="11" t="str">
        <f aca="false">IF(Setup!E34="","",Setup!E34)</f>
        <v/>
      </c>
      <c r="H36" s="22" t="str">
        <f aca="false">IF(G36="","",Setup!G34)</f>
        <v/>
      </c>
      <c r="I36" s="22" t="str">
        <f aca="false">IF(G36="","",SUMIFS($E$7:$E$86,$D$7:$D$86,G36))</f>
        <v/>
      </c>
      <c r="J36" s="22" t="str">
        <f aca="false">IF(G36="","",H36-I36)</f>
        <v/>
      </c>
      <c r="K36" s="33" t="str">
        <f aca="false">IF(OR(G36="",H36=0),"",I36/H36)</f>
        <v/>
      </c>
    </row>
    <row r="37" customFormat="false" ht="15" hidden="false" customHeight="false" outlineLevel="0" collapsed="false">
      <c r="B37" s="30"/>
      <c r="C37" s="17"/>
      <c r="D37" s="17"/>
      <c r="E37" s="26"/>
      <c r="G37" s="11" t="str">
        <f aca="false">IF(Setup!E35="","",Setup!E35)</f>
        <v/>
      </c>
      <c r="H37" s="22" t="str">
        <f aca="false">IF(G37="","",Setup!G35)</f>
        <v/>
      </c>
      <c r="I37" s="22" t="str">
        <f aca="false">IF(G37="","",SUMIFS($E$7:$E$86,$D$7:$D$86,G37))</f>
        <v/>
      </c>
      <c r="J37" s="22" t="str">
        <f aca="false">IF(G37="","",H37-I37)</f>
        <v/>
      </c>
      <c r="K37" s="33" t="str">
        <f aca="false">IF(OR(G37="",H37=0),"",I37/H37)</f>
        <v/>
      </c>
    </row>
    <row r="38" customFormat="false" ht="15" hidden="false" customHeight="false" outlineLevel="0" collapsed="false">
      <c r="B38" s="30"/>
      <c r="C38" s="17"/>
      <c r="D38" s="17"/>
      <c r="E38" s="26"/>
      <c r="G38" s="11" t="str">
        <f aca="false">IF(Setup!E36="","",Setup!E36)</f>
        <v/>
      </c>
      <c r="H38" s="22" t="str">
        <f aca="false">IF(G38="","",Setup!G36)</f>
        <v/>
      </c>
      <c r="I38" s="22" t="str">
        <f aca="false">IF(G38="","",SUMIFS($E$7:$E$86,$D$7:$D$86,G38))</f>
        <v/>
      </c>
      <c r="J38" s="22" t="str">
        <f aca="false">IF(G38="","",H38-I38)</f>
        <v/>
      </c>
      <c r="K38" s="33" t="str">
        <f aca="false">IF(OR(G38="",H38=0),"",I38/H38)</f>
        <v/>
      </c>
    </row>
    <row r="39" customFormat="false" ht="15" hidden="false" customHeight="false" outlineLevel="0" collapsed="false">
      <c r="B39" s="30"/>
      <c r="C39" s="17"/>
      <c r="D39" s="17"/>
      <c r="E39" s="26"/>
      <c r="G39" s="11" t="str">
        <f aca="false">IF(Setup!E37="","",Setup!E37)</f>
        <v/>
      </c>
      <c r="H39" s="22" t="str">
        <f aca="false">IF(G39="","",Setup!G37)</f>
        <v/>
      </c>
      <c r="I39" s="22" t="str">
        <f aca="false">IF(G39="","",SUMIFS($E$7:$E$86,$D$7:$D$86,G39))</f>
        <v/>
      </c>
      <c r="J39" s="22" t="str">
        <f aca="false">IF(G39="","",H39-I39)</f>
        <v/>
      </c>
      <c r="K39" s="33" t="str">
        <f aca="false">IF(OR(G39="",H39=0),"",I39/H39)</f>
        <v/>
      </c>
    </row>
    <row r="40" customFormat="false" ht="15" hidden="false" customHeight="false" outlineLevel="0" collapsed="false">
      <c r="B40" s="30"/>
      <c r="C40" s="17"/>
      <c r="D40" s="17"/>
      <c r="E40" s="26"/>
      <c r="G40" s="11" t="str">
        <f aca="false">IF(Setup!E38="","",Setup!E38)</f>
        <v/>
      </c>
      <c r="H40" s="22" t="str">
        <f aca="false">IF(G40="","",Setup!G38)</f>
        <v/>
      </c>
      <c r="I40" s="22" t="str">
        <f aca="false">IF(G40="","",SUMIFS($E$7:$E$86,$D$7:$D$86,G40))</f>
        <v/>
      </c>
      <c r="J40" s="22" t="str">
        <f aca="false">IF(G40="","",H40-I40)</f>
        <v/>
      </c>
      <c r="K40" s="33" t="str">
        <f aca="false">IF(OR(G40="",H40=0),"",I40/H40)</f>
        <v/>
      </c>
    </row>
    <row r="41" customFormat="false" ht="15" hidden="false" customHeight="false" outlineLevel="0" collapsed="false">
      <c r="B41" s="30"/>
      <c r="C41" s="17"/>
      <c r="D41" s="17"/>
      <c r="E41" s="26"/>
      <c r="G41" s="11" t="str">
        <f aca="false">IF(Setup!E39="","",Setup!E39)</f>
        <v/>
      </c>
      <c r="H41" s="22" t="str">
        <f aca="false">IF(G41="","",Setup!G39)</f>
        <v/>
      </c>
      <c r="I41" s="22" t="str">
        <f aca="false">IF(G41="","",SUMIFS($E$7:$E$86,$D$7:$D$86,G41))</f>
        <v/>
      </c>
      <c r="J41" s="22" t="str">
        <f aca="false">IF(G41="","",H41-I41)</f>
        <v/>
      </c>
      <c r="K41" s="33" t="str">
        <f aca="false">IF(OR(G41="",H41=0),"",I41/H41)</f>
        <v/>
      </c>
    </row>
    <row r="42" customFormat="false" ht="15" hidden="false" customHeight="false" outlineLevel="0" collapsed="false">
      <c r="B42" s="30"/>
      <c r="C42" s="17"/>
      <c r="D42" s="17"/>
      <c r="E42" s="26"/>
    </row>
    <row r="43" customFormat="false" ht="15" hidden="false" customHeight="false" outlineLevel="0" collapsed="false">
      <c r="B43" s="30"/>
      <c r="C43" s="17"/>
      <c r="D43" s="17"/>
      <c r="E43" s="26"/>
    </row>
    <row r="44" customFormat="false" ht="15" hidden="false" customHeight="false" outlineLevel="0" collapsed="false">
      <c r="B44" s="30"/>
      <c r="C44" s="17"/>
      <c r="D44" s="17"/>
      <c r="E44" s="26"/>
    </row>
    <row r="45" customFormat="false" ht="15" hidden="false" customHeight="false" outlineLevel="0" collapsed="false">
      <c r="B45" s="30"/>
      <c r="C45" s="17"/>
      <c r="D45" s="17"/>
      <c r="E45" s="26"/>
    </row>
    <row r="46" customFormat="false" ht="15" hidden="false" customHeight="false" outlineLevel="0" collapsed="false">
      <c r="B46" s="30"/>
      <c r="C46" s="17"/>
      <c r="D46" s="17"/>
      <c r="E46" s="26"/>
    </row>
    <row r="47" customFormat="false" ht="15" hidden="false" customHeight="false" outlineLevel="0" collapsed="false">
      <c r="B47" s="30"/>
      <c r="C47" s="17"/>
      <c r="D47" s="17"/>
      <c r="E47" s="26"/>
    </row>
    <row r="48" customFormat="false" ht="15" hidden="false" customHeight="false" outlineLevel="0" collapsed="false">
      <c r="B48" s="30"/>
      <c r="C48" s="17"/>
      <c r="D48" s="17"/>
      <c r="E48" s="26"/>
    </row>
    <row r="49" customFormat="false" ht="15" hidden="false" customHeight="false" outlineLevel="0" collapsed="false">
      <c r="B49" s="30"/>
      <c r="C49" s="17"/>
      <c r="D49" s="17"/>
      <c r="E49" s="26"/>
    </row>
    <row r="50" customFormat="false" ht="15" hidden="false" customHeight="false" outlineLevel="0" collapsed="false">
      <c r="B50" s="30"/>
      <c r="C50" s="17"/>
      <c r="D50" s="17"/>
      <c r="E50" s="26"/>
    </row>
    <row r="51" customFormat="false" ht="15" hidden="false" customHeight="false" outlineLevel="0" collapsed="false">
      <c r="B51" s="30"/>
      <c r="C51" s="17"/>
      <c r="D51" s="17"/>
      <c r="E51" s="26"/>
    </row>
    <row r="52" customFormat="false" ht="15" hidden="false" customHeight="false" outlineLevel="0" collapsed="false">
      <c r="B52" s="30"/>
      <c r="C52" s="17"/>
      <c r="D52" s="17"/>
      <c r="E52" s="26"/>
    </row>
    <row r="53" customFormat="false" ht="15" hidden="false" customHeight="false" outlineLevel="0" collapsed="false">
      <c r="B53" s="30"/>
      <c r="C53" s="17"/>
      <c r="D53" s="17"/>
      <c r="E53" s="26"/>
    </row>
    <row r="54" customFormat="false" ht="15" hidden="false" customHeight="false" outlineLevel="0" collapsed="false">
      <c r="B54" s="30"/>
      <c r="C54" s="17"/>
      <c r="D54" s="17"/>
      <c r="E54" s="26"/>
    </row>
    <row r="55" customFormat="false" ht="15" hidden="false" customHeight="false" outlineLevel="0" collapsed="false">
      <c r="B55" s="30"/>
      <c r="C55" s="17"/>
      <c r="D55" s="17"/>
      <c r="E55" s="26"/>
    </row>
    <row r="56" customFormat="false" ht="15" hidden="false" customHeight="false" outlineLevel="0" collapsed="false">
      <c r="B56" s="30"/>
      <c r="C56" s="17"/>
      <c r="D56" s="17"/>
      <c r="E56" s="26"/>
    </row>
    <row r="57" customFormat="false" ht="15" hidden="false" customHeight="false" outlineLevel="0" collapsed="false">
      <c r="B57" s="30"/>
      <c r="C57" s="17"/>
      <c r="D57" s="17"/>
      <c r="E57" s="26"/>
    </row>
    <row r="58" customFormat="false" ht="15" hidden="false" customHeight="false" outlineLevel="0" collapsed="false">
      <c r="B58" s="30"/>
      <c r="C58" s="17"/>
      <c r="D58" s="17"/>
      <c r="E58" s="26"/>
    </row>
    <row r="59" customFormat="false" ht="15" hidden="false" customHeight="false" outlineLevel="0" collapsed="false">
      <c r="B59" s="30"/>
      <c r="C59" s="17"/>
      <c r="D59" s="17"/>
      <c r="E59" s="26"/>
    </row>
    <row r="60" customFormat="false" ht="15" hidden="false" customHeight="false" outlineLevel="0" collapsed="false">
      <c r="B60" s="30"/>
      <c r="C60" s="17"/>
      <c r="D60" s="17"/>
      <c r="E60" s="26"/>
    </row>
    <row r="61" customFormat="false" ht="15" hidden="false" customHeight="false" outlineLevel="0" collapsed="false">
      <c r="B61" s="30"/>
      <c r="C61" s="17"/>
      <c r="D61" s="17"/>
      <c r="E61" s="26"/>
    </row>
    <row r="62" customFormat="false" ht="15" hidden="false" customHeight="false" outlineLevel="0" collapsed="false">
      <c r="B62" s="30"/>
      <c r="C62" s="17"/>
      <c r="D62" s="17"/>
      <c r="E62" s="26"/>
    </row>
    <row r="63" customFormat="false" ht="15" hidden="false" customHeight="false" outlineLevel="0" collapsed="false">
      <c r="B63" s="30"/>
      <c r="C63" s="17"/>
      <c r="D63" s="17"/>
      <c r="E63" s="26"/>
    </row>
    <row r="64" customFormat="false" ht="15" hidden="false" customHeight="false" outlineLevel="0" collapsed="false">
      <c r="B64" s="30"/>
      <c r="C64" s="17"/>
      <c r="D64" s="17"/>
      <c r="E64" s="26"/>
    </row>
    <row r="65" customFormat="false" ht="15" hidden="false" customHeight="false" outlineLevel="0" collapsed="false">
      <c r="B65" s="30"/>
      <c r="C65" s="17"/>
      <c r="D65" s="17"/>
      <c r="E65" s="26"/>
    </row>
    <row r="66" customFormat="false" ht="15" hidden="false" customHeight="false" outlineLevel="0" collapsed="false">
      <c r="B66" s="30"/>
      <c r="C66" s="17"/>
      <c r="D66" s="17"/>
      <c r="E66" s="26"/>
    </row>
    <row r="67" customFormat="false" ht="15" hidden="false" customHeight="false" outlineLevel="0" collapsed="false">
      <c r="B67" s="30"/>
      <c r="C67" s="17"/>
      <c r="D67" s="17"/>
      <c r="E67" s="26"/>
    </row>
    <row r="68" customFormat="false" ht="15" hidden="false" customHeight="false" outlineLevel="0" collapsed="false">
      <c r="B68" s="30"/>
      <c r="C68" s="17"/>
      <c r="D68" s="17"/>
      <c r="E68" s="26"/>
    </row>
    <row r="69" customFormat="false" ht="15" hidden="false" customHeight="false" outlineLevel="0" collapsed="false">
      <c r="B69" s="30"/>
      <c r="C69" s="17"/>
      <c r="D69" s="17"/>
      <c r="E69" s="26"/>
    </row>
    <row r="70" customFormat="false" ht="15" hidden="false" customHeight="false" outlineLevel="0" collapsed="false">
      <c r="B70" s="30"/>
      <c r="C70" s="17"/>
      <c r="D70" s="17"/>
      <c r="E70" s="26"/>
    </row>
    <row r="71" customFormat="false" ht="15" hidden="false" customHeight="false" outlineLevel="0" collapsed="false">
      <c r="B71" s="30"/>
      <c r="C71" s="17"/>
      <c r="D71" s="17"/>
      <c r="E71" s="26"/>
    </row>
    <row r="72" customFormat="false" ht="15" hidden="false" customHeight="false" outlineLevel="0" collapsed="false">
      <c r="B72" s="30"/>
      <c r="C72" s="17"/>
      <c r="D72" s="17"/>
      <c r="E72" s="26"/>
    </row>
    <row r="73" customFormat="false" ht="15" hidden="false" customHeight="false" outlineLevel="0" collapsed="false">
      <c r="B73" s="30"/>
      <c r="C73" s="17"/>
      <c r="D73" s="17"/>
      <c r="E73" s="26"/>
    </row>
    <row r="74" customFormat="false" ht="15" hidden="false" customHeight="false" outlineLevel="0" collapsed="false">
      <c r="B74" s="30"/>
      <c r="C74" s="17"/>
      <c r="D74" s="17"/>
      <c r="E74" s="26"/>
    </row>
    <row r="75" customFormat="false" ht="15" hidden="false" customHeight="false" outlineLevel="0" collapsed="false">
      <c r="B75" s="30"/>
      <c r="C75" s="17"/>
      <c r="D75" s="17"/>
      <c r="E75" s="26"/>
    </row>
    <row r="76" customFormat="false" ht="15" hidden="false" customHeight="false" outlineLevel="0" collapsed="false">
      <c r="B76" s="30"/>
      <c r="C76" s="17"/>
      <c r="D76" s="17"/>
      <c r="E76" s="26"/>
    </row>
    <row r="77" customFormat="false" ht="15" hidden="false" customHeight="false" outlineLevel="0" collapsed="false">
      <c r="B77" s="30"/>
      <c r="C77" s="17"/>
      <c r="D77" s="17"/>
      <c r="E77" s="26"/>
    </row>
    <row r="78" customFormat="false" ht="15" hidden="false" customHeight="false" outlineLevel="0" collapsed="false">
      <c r="B78" s="30"/>
      <c r="C78" s="17"/>
      <c r="D78" s="17"/>
      <c r="E78" s="26"/>
    </row>
    <row r="79" customFormat="false" ht="15" hidden="false" customHeight="false" outlineLevel="0" collapsed="false">
      <c r="B79" s="30"/>
      <c r="C79" s="17"/>
      <c r="D79" s="17"/>
      <c r="E79" s="26"/>
    </row>
    <row r="80" customFormat="false" ht="15" hidden="false" customHeight="false" outlineLevel="0" collapsed="false">
      <c r="B80" s="30"/>
      <c r="C80" s="17"/>
      <c r="D80" s="17"/>
      <c r="E80" s="26"/>
    </row>
    <row r="81" customFormat="false" ht="15" hidden="false" customHeight="false" outlineLevel="0" collapsed="false">
      <c r="B81" s="30"/>
      <c r="C81" s="17"/>
      <c r="D81" s="17"/>
      <c r="E81" s="26"/>
    </row>
    <row r="82" customFormat="false" ht="15" hidden="false" customHeight="false" outlineLevel="0" collapsed="false">
      <c r="B82" s="30"/>
      <c r="C82" s="17"/>
      <c r="D82" s="17"/>
      <c r="E82" s="26"/>
    </row>
    <row r="83" customFormat="false" ht="15" hidden="false" customHeight="false" outlineLevel="0" collapsed="false">
      <c r="B83" s="30"/>
      <c r="C83" s="17"/>
      <c r="D83" s="17"/>
      <c r="E83" s="26"/>
    </row>
    <row r="84" customFormat="false" ht="15" hidden="false" customHeight="false" outlineLevel="0" collapsed="false">
      <c r="B84" s="30"/>
      <c r="C84" s="17"/>
      <c r="D84" s="17"/>
      <c r="E84" s="26"/>
    </row>
    <row r="85" customFormat="false" ht="15" hidden="false" customHeight="false" outlineLevel="0" collapsed="false">
      <c r="B85" s="30"/>
      <c r="C85" s="17"/>
      <c r="D85" s="17"/>
      <c r="E85" s="26"/>
    </row>
    <row r="86" customFormat="false" ht="15" hidden="false" customHeight="false" outlineLevel="0" collapsed="false">
      <c r="B86" s="30"/>
      <c r="C86" s="17"/>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K12:K41">
    <cfRule type="dataBar" priority="4">
      <dataBar showValue="1" minLength="10" maxLength="90">
        <cfvo type="num" val="0"/>
        <cfvo type="num" val="1"/>
        <color rgb="FF2F6F5E"/>
      </dataBar>
      <extLst>
        <ext xmlns:x14="http://schemas.microsoft.com/office/spreadsheetml/2009/9/main" uri="{B025F937-C7B1-47D3-B67F-A62EFF666E3E}">
          <x14:id>{17C03557-6C50-4D2A-83E9-D795DD98C91F}</x14:id>
        </ext>
      </extLst>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r:id="rId1" location="'Start%20here'!A1" display="Start here"/>
    <hyperlink ref="C4" r:id="rId2" location="'Dashboard'!A1" display="Dashboard"/>
    <hyperlink ref="D4" r:id="rId3" location="'Setup'!A1" display="Setup"/>
    <hyperlink ref="E4" r:id="rId4" location="'January'!A1" display="Months"/>
    <hyperlink ref="F4" r:id="rId5" location="'Bills'!A1" display="Bills"/>
    <hyperlink ref="G4" r:id="rId6" location="'Paycheck%20plan'!A1" display="Paycheck"/>
    <hyperlink ref="H4" r:id="rId7" location="'Debt%20payoff'!A1" display="Debt"/>
    <hyperlink ref="I4" r:id="rId8" location="'Savings%20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17C03557-6C50-4D2A-83E9-D795DD98C91F}">
            <x14:dataBar minLength="10" maxLength="90" axisPosition="none" gradient="true">
              <x14:cfvo type="num">
                <xm:f>0</xm:f>
              </x14:cfvo>
              <x14:cfvo type="num">
                <xm:f>1</xm:f>
              </x14:cfvo>
              <x14:negativeFillColor rgb="FF2F6F5E"/>
              <x14:axisColor rgb="FF000000"/>
            </x14:dataBar>
          </x14:cfRule>
          <xm:sqref>K12:K41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K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10"/>
    <col collapsed="false" customWidth="true" hidden="false" outlineLevel="0" max="29" min="12" style="0" width="14"/>
  </cols>
  <sheetData>
    <row r="2" customFormat="false" ht="33.75" hidden="false" customHeight="true" outlineLevel="0" collapsed="false">
      <c r="B2" s="1" t="s">
        <v>24</v>
      </c>
    </row>
    <row r="3" customFormat="false" ht="15" hidden="false" customHeight="false" outlineLevel="0" collapsed="false">
      <c r="B3" s="2" t="s">
        <v>99</v>
      </c>
    </row>
    <row r="4" customFormat="false" ht="15" hidden="false" customHeight="false" outlineLevel="0" collapsed="false">
      <c r="B4" s="3" t="s">
        <v>2</v>
      </c>
      <c r="C4" s="3" t="s">
        <v>3</v>
      </c>
      <c r="D4" s="3" t="s">
        <v>4</v>
      </c>
      <c r="E4" s="3" t="s">
        <v>5</v>
      </c>
      <c r="F4" s="3" t="s">
        <v>6</v>
      </c>
      <c r="G4" s="3" t="s">
        <v>7</v>
      </c>
      <c r="H4" s="3" t="s">
        <v>8</v>
      </c>
      <c r="I4" s="3" t="s">
        <v>9</v>
      </c>
    </row>
    <row r="6" customFormat="false" ht="21.75" hidden="false" customHeight="true" outlineLevel="0" collapsed="false">
      <c r="B6" s="10" t="s">
        <v>100</v>
      </c>
      <c r="C6" s="10" t="s">
        <v>101</v>
      </c>
      <c r="D6" s="10" t="s">
        <v>64</v>
      </c>
      <c r="E6" s="10" t="s">
        <v>102</v>
      </c>
      <c r="G6" s="27" t="s">
        <v>103</v>
      </c>
      <c r="H6" s="28" t="n">
        <f aca="false">Setup!$C$18</f>
        <v>3900</v>
      </c>
      <c r="I6" s="29" t="s">
        <v>104</v>
      </c>
    </row>
    <row r="7" customFormat="false" ht="15" hidden="false" customHeight="false" outlineLevel="0" collapsed="false">
      <c r="B7" s="30"/>
      <c r="C7" s="17"/>
      <c r="D7" s="17"/>
      <c r="E7" s="26"/>
      <c r="G7" s="31" t="s">
        <v>61</v>
      </c>
      <c r="H7" s="32" t="n">
        <f aca="false">SUM(E7:E86)</f>
        <v>0</v>
      </c>
    </row>
    <row r="8" customFormat="false" ht="15" hidden="false" customHeight="false" outlineLevel="0" collapsed="false">
      <c r="B8" s="30"/>
      <c r="C8" s="17"/>
      <c r="D8" s="17"/>
      <c r="E8" s="26"/>
      <c r="G8" s="31" t="s">
        <v>62</v>
      </c>
      <c r="H8" s="32" t="n">
        <f aca="false">H6-H7</f>
        <v>3900</v>
      </c>
    </row>
    <row r="9" customFormat="false" ht="15" hidden="false" customHeight="false" outlineLevel="0" collapsed="false">
      <c r="B9" s="30"/>
      <c r="C9" s="17"/>
      <c r="D9" s="17"/>
      <c r="E9" s="26"/>
      <c r="G9" s="31" t="s">
        <v>108</v>
      </c>
      <c r="H9" s="32" t="n">
        <f aca="false">SUMPRODUCT(SUMIFS($E$7:$E$86,$D$7:$D$86,Setup!$E$10:$E$39)*((Setup!$F$10:$F$39="Savings")+(Setup!$F$10:$F$39="Debt")))</f>
        <v>0</v>
      </c>
    </row>
    <row r="10" customFormat="false" ht="15" hidden="false" customHeight="false" outlineLevel="0" collapsed="false">
      <c r="B10" s="30"/>
      <c r="C10" s="17"/>
      <c r="D10" s="17"/>
      <c r="E10" s="26"/>
    </row>
    <row r="11" customFormat="false" ht="21.75" hidden="false" customHeight="true" outlineLevel="0" collapsed="false">
      <c r="B11" s="30"/>
      <c r="C11" s="17"/>
      <c r="D11" s="17"/>
      <c r="E11" s="26"/>
      <c r="G11" s="10" t="s">
        <v>64</v>
      </c>
      <c r="H11" s="10" t="s">
        <v>110</v>
      </c>
      <c r="I11" s="10" t="s">
        <v>61</v>
      </c>
      <c r="J11" s="10" t="s">
        <v>111</v>
      </c>
      <c r="K11" s="10" t="s">
        <v>112</v>
      </c>
    </row>
    <row r="12" customFormat="false" ht="15" hidden="false" customHeight="false" outlineLevel="0" collapsed="false">
      <c r="B12" s="30"/>
      <c r="C12" s="17"/>
      <c r="D12" s="17"/>
      <c r="E12" s="26"/>
      <c r="G12" s="11" t="str">
        <f aca="false">IF(Setup!E10="","",Setup!E10)</f>
        <v>Rent or mortgage</v>
      </c>
      <c r="H12" s="22" t="n">
        <f aca="false">IF(G12="","",Setup!G10)</f>
        <v>1400</v>
      </c>
      <c r="I12" s="22" t="n">
        <f aca="false">IF(G12="","",SUMIFS($E$7:$E$86,$D$7:$D$86,G12))</f>
        <v>0</v>
      </c>
      <c r="J12" s="22" t="n">
        <f aca="false">IF(G12="","",H12-I12)</f>
        <v>1400</v>
      </c>
      <c r="K12" s="33" t="n">
        <f aca="false">IF(OR(G12="",H12=0),"",I12/H12)</f>
        <v>0</v>
      </c>
    </row>
    <row r="13" customFormat="false" ht="15" hidden="false" customHeight="false" outlineLevel="0" collapsed="false">
      <c r="B13" s="30"/>
      <c r="C13" s="17"/>
      <c r="D13" s="17"/>
      <c r="E13" s="26"/>
      <c r="G13" s="11" t="str">
        <f aca="false">IF(Setup!E11="","",Setup!E11)</f>
        <v>Utilities</v>
      </c>
      <c r="H13" s="22" t="n">
        <f aca="false">IF(G13="","",Setup!G11)</f>
        <v>180</v>
      </c>
      <c r="I13" s="22" t="n">
        <f aca="false">IF(G13="","",SUMIFS($E$7:$E$86,$D$7:$D$86,G13))</f>
        <v>0</v>
      </c>
      <c r="J13" s="22" t="n">
        <f aca="false">IF(G13="","",H13-I13)</f>
        <v>180</v>
      </c>
      <c r="K13" s="33" t="n">
        <f aca="false">IF(OR(G13="",H13=0),"",I13/H13)</f>
        <v>0</v>
      </c>
    </row>
    <row r="14" customFormat="false" ht="15" hidden="false" customHeight="false" outlineLevel="0" collapsed="false">
      <c r="B14" s="30"/>
      <c r="C14" s="17"/>
      <c r="D14" s="17"/>
      <c r="E14" s="26"/>
      <c r="G14" s="11" t="str">
        <f aca="false">IF(Setup!E12="","",Setup!E12)</f>
        <v>Groceries</v>
      </c>
      <c r="H14" s="22" t="n">
        <f aca="false">IF(G14="","",Setup!G12)</f>
        <v>500</v>
      </c>
      <c r="I14" s="22" t="n">
        <f aca="false">IF(G14="","",SUMIFS($E$7:$E$86,$D$7:$D$86,G14))</f>
        <v>0</v>
      </c>
      <c r="J14" s="22" t="n">
        <f aca="false">IF(G14="","",H14-I14)</f>
        <v>500</v>
      </c>
      <c r="K14" s="33" t="n">
        <f aca="false">IF(OR(G14="",H14=0),"",I14/H14)</f>
        <v>0</v>
      </c>
    </row>
    <row r="15" customFormat="false" ht="15" hidden="false" customHeight="false" outlineLevel="0" collapsed="false">
      <c r="B15" s="30"/>
      <c r="C15" s="17"/>
      <c r="D15" s="17"/>
      <c r="E15" s="26"/>
      <c r="G15" s="11" t="str">
        <f aca="false">IF(Setup!E13="","",Setup!E13)</f>
        <v>Transport</v>
      </c>
      <c r="H15" s="22" t="n">
        <f aca="false">IF(G15="","",Setup!G13)</f>
        <v>220</v>
      </c>
      <c r="I15" s="22" t="n">
        <f aca="false">IF(G15="","",SUMIFS($E$7:$E$86,$D$7:$D$86,G15))</f>
        <v>0</v>
      </c>
      <c r="J15" s="22" t="n">
        <f aca="false">IF(G15="","",H15-I15)</f>
        <v>220</v>
      </c>
      <c r="K15" s="33" t="n">
        <f aca="false">IF(OR(G15="",H15=0),"",I15/H15)</f>
        <v>0</v>
      </c>
    </row>
    <row r="16" customFormat="false" ht="15" hidden="false" customHeight="false" outlineLevel="0" collapsed="false">
      <c r="B16" s="30"/>
      <c r="C16" s="17"/>
      <c r="D16" s="17"/>
      <c r="E16" s="26"/>
      <c r="G16" s="11" t="str">
        <f aca="false">IF(Setup!E14="","",Setup!E14)</f>
        <v>Insurance</v>
      </c>
      <c r="H16" s="22" t="n">
        <f aca="false">IF(G16="","",Setup!G14)</f>
        <v>160</v>
      </c>
      <c r="I16" s="22" t="n">
        <f aca="false">IF(G16="","",SUMIFS($E$7:$E$86,$D$7:$D$86,G16))</f>
        <v>0</v>
      </c>
      <c r="J16" s="22" t="n">
        <f aca="false">IF(G16="","",H16-I16)</f>
        <v>160</v>
      </c>
      <c r="K16" s="33" t="n">
        <f aca="false">IF(OR(G16="",H16=0),"",I16/H16)</f>
        <v>0</v>
      </c>
    </row>
    <row r="17" customFormat="false" ht="15" hidden="false" customHeight="false" outlineLevel="0" collapsed="false">
      <c r="B17" s="30"/>
      <c r="C17" s="17"/>
      <c r="D17" s="17"/>
      <c r="E17" s="26"/>
      <c r="G17" s="11" t="str">
        <f aca="false">IF(Setup!E15="","",Setup!E15)</f>
        <v>Phone and internet</v>
      </c>
      <c r="H17" s="22" t="n">
        <f aca="false">IF(G17="","",Setup!G15)</f>
        <v>95</v>
      </c>
      <c r="I17" s="22" t="n">
        <f aca="false">IF(G17="","",SUMIFS($E$7:$E$86,$D$7:$D$86,G17))</f>
        <v>0</v>
      </c>
      <c r="J17" s="22" t="n">
        <f aca="false">IF(G17="","",H17-I17)</f>
        <v>95</v>
      </c>
      <c r="K17" s="33" t="n">
        <f aca="false">IF(OR(G17="",H17=0),"",I17/H17)</f>
        <v>0</v>
      </c>
    </row>
    <row r="18" customFormat="false" ht="15" hidden="false" customHeight="false" outlineLevel="0" collapsed="false">
      <c r="B18" s="30"/>
      <c r="C18" s="17"/>
      <c r="D18" s="17"/>
      <c r="E18" s="26"/>
      <c r="G18" s="11" t="str">
        <f aca="false">IF(Setup!E16="","",Setup!E16)</f>
        <v>Medical</v>
      </c>
      <c r="H18" s="22" t="n">
        <f aca="false">IF(G18="","",Setup!G16)</f>
        <v>60</v>
      </c>
      <c r="I18" s="22" t="n">
        <f aca="false">IF(G18="","",SUMIFS($E$7:$E$86,$D$7:$D$86,G18))</f>
        <v>0</v>
      </c>
      <c r="J18" s="22" t="n">
        <f aca="false">IF(G18="","",H18-I18)</f>
        <v>60</v>
      </c>
      <c r="K18" s="33" t="n">
        <f aca="false">IF(OR(G18="",H18=0),"",I18/H18)</f>
        <v>0</v>
      </c>
    </row>
    <row r="19" customFormat="false" ht="15" hidden="false" customHeight="false" outlineLevel="0" collapsed="false">
      <c r="B19" s="30"/>
      <c r="C19" s="17"/>
      <c r="D19" s="17"/>
      <c r="E19" s="26"/>
      <c r="G19" s="11" t="str">
        <f aca="false">IF(Setup!E17="","",Setup!E17)</f>
        <v>Eating out</v>
      </c>
      <c r="H19" s="22" t="n">
        <f aca="false">IF(G19="","",Setup!G17)</f>
        <v>150</v>
      </c>
      <c r="I19" s="22" t="n">
        <f aca="false">IF(G19="","",SUMIFS($E$7:$E$86,$D$7:$D$86,G19))</f>
        <v>0</v>
      </c>
      <c r="J19" s="22" t="n">
        <f aca="false">IF(G19="","",H19-I19)</f>
        <v>150</v>
      </c>
      <c r="K19" s="33" t="n">
        <f aca="false">IF(OR(G19="",H19=0),"",I19/H19)</f>
        <v>0</v>
      </c>
    </row>
    <row r="20" customFormat="false" ht="15" hidden="false" customHeight="false" outlineLevel="0" collapsed="false">
      <c r="B20" s="30"/>
      <c r="C20" s="17"/>
      <c r="D20" s="17"/>
      <c r="E20" s="26"/>
      <c r="G20" s="11" t="str">
        <f aca="false">IF(Setup!E18="","",Setup!E18)</f>
        <v>Shopping</v>
      </c>
      <c r="H20" s="22" t="n">
        <f aca="false">IF(G20="","",Setup!G18)</f>
        <v>120</v>
      </c>
      <c r="I20" s="22" t="n">
        <f aca="false">IF(G20="","",SUMIFS($E$7:$E$86,$D$7:$D$86,G20))</f>
        <v>0</v>
      </c>
      <c r="J20" s="22" t="n">
        <f aca="false">IF(G20="","",H20-I20)</f>
        <v>120</v>
      </c>
      <c r="K20" s="33" t="n">
        <f aca="false">IF(OR(G20="",H20=0),"",I20/H20)</f>
        <v>0</v>
      </c>
    </row>
    <row r="21" customFormat="false" ht="15" hidden="false" customHeight="false" outlineLevel="0" collapsed="false">
      <c r="B21" s="30"/>
      <c r="C21" s="17"/>
      <c r="D21" s="17"/>
      <c r="E21" s="26"/>
      <c r="G21" s="11" t="str">
        <f aca="false">IF(Setup!E19="","",Setup!E19)</f>
        <v>Subscriptions</v>
      </c>
      <c r="H21" s="22" t="n">
        <f aca="false">IF(G21="","",Setup!G19)</f>
        <v>45</v>
      </c>
      <c r="I21" s="22" t="n">
        <f aca="false">IF(G21="","",SUMIFS($E$7:$E$86,$D$7:$D$86,G21))</f>
        <v>0</v>
      </c>
      <c r="J21" s="22" t="n">
        <f aca="false">IF(G21="","",H21-I21)</f>
        <v>45</v>
      </c>
      <c r="K21" s="33" t="n">
        <f aca="false">IF(OR(G21="",H21=0),"",I21/H21)</f>
        <v>0</v>
      </c>
    </row>
    <row r="22" customFormat="false" ht="15" hidden="false" customHeight="false" outlineLevel="0" collapsed="false">
      <c r="B22" s="30"/>
      <c r="C22" s="17"/>
      <c r="D22" s="17"/>
      <c r="E22" s="26"/>
      <c r="G22" s="11" t="str">
        <f aca="false">IF(Setup!E20="","",Setup!E20)</f>
        <v>Fun</v>
      </c>
      <c r="H22" s="22" t="n">
        <f aca="false">IF(G22="","",Setup!G20)</f>
        <v>100</v>
      </c>
      <c r="I22" s="22" t="n">
        <f aca="false">IF(G22="","",SUMIFS($E$7:$E$86,$D$7:$D$86,G22))</f>
        <v>0</v>
      </c>
      <c r="J22" s="22" t="n">
        <f aca="false">IF(G22="","",H22-I22)</f>
        <v>100</v>
      </c>
      <c r="K22" s="33" t="n">
        <f aca="false">IF(OR(G22="",H22=0),"",I22/H22)</f>
        <v>0</v>
      </c>
    </row>
    <row r="23" customFormat="false" ht="15" hidden="false" customHeight="false" outlineLevel="0" collapsed="false">
      <c r="B23" s="30"/>
      <c r="C23" s="17"/>
      <c r="D23" s="17"/>
      <c r="E23" s="26"/>
      <c r="G23" s="11" t="str">
        <f aca="false">IF(Setup!E21="","",Setup!E21)</f>
        <v>Gifts</v>
      </c>
      <c r="H23" s="22" t="n">
        <f aca="false">IF(G23="","",Setup!G21)</f>
        <v>40</v>
      </c>
      <c r="I23" s="22" t="n">
        <f aca="false">IF(G23="","",SUMIFS($E$7:$E$86,$D$7:$D$86,G23))</f>
        <v>0</v>
      </c>
      <c r="J23" s="22" t="n">
        <f aca="false">IF(G23="","",H23-I23)</f>
        <v>40</v>
      </c>
      <c r="K23" s="33" t="n">
        <f aca="false">IF(OR(G23="",H23=0),"",I23/H23)</f>
        <v>0</v>
      </c>
    </row>
    <row r="24" customFormat="false" ht="15" hidden="false" customHeight="false" outlineLevel="0" collapsed="false">
      <c r="B24" s="30"/>
      <c r="C24" s="17"/>
      <c r="D24" s="17"/>
      <c r="E24" s="26"/>
      <c r="G24" s="11" t="str">
        <f aca="false">IF(Setup!E22="","",Setup!E22)</f>
        <v>Personal care</v>
      </c>
      <c r="H24" s="22" t="n">
        <f aca="false">IF(G24="","",Setup!G22)</f>
        <v>50</v>
      </c>
      <c r="I24" s="22" t="n">
        <f aca="false">IF(G24="","",SUMIFS($E$7:$E$86,$D$7:$D$86,G24))</f>
        <v>0</v>
      </c>
      <c r="J24" s="22" t="n">
        <f aca="false">IF(G24="","",H24-I24)</f>
        <v>50</v>
      </c>
      <c r="K24" s="33" t="n">
        <f aca="false">IF(OR(G24="",H24=0),"",I24/H24)</f>
        <v>0</v>
      </c>
    </row>
    <row r="25" customFormat="false" ht="15" hidden="false" customHeight="false" outlineLevel="0" collapsed="false">
      <c r="B25" s="30"/>
      <c r="C25" s="17"/>
      <c r="D25" s="17"/>
      <c r="E25" s="26"/>
      <c r="G25" s="11" t="str">
        <f aca="false">IF(Setup!E23="","",Setup!E23)</f>
        <v>Emergency fund</v>
      </c>
      <c r="H25" s="22" t="n">
        <f aca="false">IF(G25="","",Setup!G23)</f>
        <v>200</v>
      </c>
      <c r="I25" s="22" t="n">
        <f aca="false">IF(G25="","",SUMIFS($E$7:$E$86,$D$7:$D$86,G25))</f>
        <v>0</v>
      </c>
      <c r="J25" s="22" t="n">
        <f aca="false">IF(G25="","",H25-I25)</f>
        <v>200</v>
      </c>
      <c r="K25" s="33" t="n">
        <f aca="false">IF(OR(G25="",H25=0),"",I25/H25)</f>
        <v>0</v>
      </c>
    </row>
    <row r="26" customFormat="false" ht="15" hidden="false" customHeight="false" outlineLevel="0" collapsed="false">
      <c r="B26" s="30"/>
      <c r="C26" s="17"/>
      <c r="D26" s="17"/>
      <c r="E26" s="26"/>
      <c r="G26" s="11" t="str">
        <f aca="false">IF(Setup!E24="","",Setup!E24)</f>
        <v>Sinking funds</v>
      </c>
      <c r="H26" s="22" t="n">
        <f aca="false">IF(G26="","",Setup!G24)</f>
        <v>100</v>
      </c>
      <c r="I26" s="22" t="n">
        <f aca="false">IF(G26="","",SUMIFS($E$7:$E$86,$D$7:$D$86,G26))</f>
        <v>0</v>
      </c>
      <c r="J26" s="22" t="n">
        <f aca="false">IF(G26="","",H26-I26)</f>
        <v>100</v>
      </c>
      <c r="K26" s="33" t="n">
        <f aca="false">IF(OR(G26="",H26=0),"",I26/H26)</f>
        <v>0</v>
      </c>
    </row>
    <row r="27" customFormat="false" ht="15" hidden="false" customHeight="false" outlineLevel="0" collapsed="false">
      <c r="B27" s="30"/>
      <c r="C27" s="17"/>
      <c r="D27" s="17"/>
      <c r="E27" s="26"/>
      <c r="G27" s="11" t="str">
        <f aca="false">IF(Setup!E25="","",Setup!E25)</f>
        <v>Retirement</v>
      </c>
      <c r="H27" s="22" t="n">
        <f aca="false">IF(G27="","",Setup!G25)</f>
        <v>150</v>
      </c>
      <c r="I27" s="22" t="n">
        <f aca="false">IF(G27="","",SUMIFS($E$7:$E$86,$D$7:$D$86,G27))</f>
        <v>0</v>
      </c>
      <c r="J27" s="22" t="n">
        <f aca="false">IF(G27="","",H27-I27)</f>
        <v>150</v>
      </c>
      <c r="K27" s="33" t="n">
        <f aca="false">IF(OR(G27="",H27=0),"",I27/H27)</f>
        <v>0</v>
      </c>
    </row>
    <row r="28" customFormat="false" ht="15" hidden="false" customHeight="false" outlineLevel="0" collapsed="false">
      <c r="B28" s="30"/>
      <c r="C28" s="17"/>
      <c r="D28" s="17"/>
      <c r="E28" s="26"/>
      <c r="G28" s="11" t="str">
        <f aca="false">IF(Setup!E26="","",Setup!E26)</f>
        <v>Credit card</v>
      </c>
      <c r="H28" s="22" t="n">
        <f aca="false">IF(G28="","",Setup!G26)</f>
        <v>150</v>
      </c>
      <c r="I28" s="22" t="n">
        <f aca="false">IF(G28="","",SUMIFS($E$7:$E$86,$D$7:$D$86,G28))</f>
        <v>0</v>
      </c>
      <c r="J28" s="22" t="n">
        <f aca="false">IF(G28="","",H28-I28)</f>
        <v>150</v>
      </c>
      <c r="K28" s="33" t="n">
        <f aca="false">IF(OR(G28="",H28=0),"",I28/H28)</f>
        <v>0</v>
      </c>
    </row>
    <row r="29" customFormat="false" ht="15" hidden="false" customHeight="false" outlineLevel="0" collapsed="false">
      <c r="B29" s="30"/>
      <c r="C29" s="17"/>
      <c r="D29" s="17"/>
      <c r="E29" s="26"/>
      <c r="G29" s="11" t="str">
        <f aca="false">IF(Setup!E27="","",Setup!E27)</f>
        <v>Student loan</v>
      </c>
      <c r="H29" s="22" t="n">
        <f aca="false">IF(G29="","",Setup!G27)</f>
        <v>180</v>
      </c>
      <c r="I29" s="22" t="n">
        <f aca="false">IF(G29="","",SUMIFS($E$7:$E$86,$D$7:$D$86,G29))</f>
        <v>0</v>
      </c>
      <c r="J29" s="22" t="n">
        <f aca="false">IF(G29="","",H29-I29)</f>
        <v>180</v>
      </c>
      <c r="K29" s="33" t="n">
        <f aca="false">IF(OR(G29="",H29=0),"",I29/H29)</f>
        <v>0</v>
      </c>
    </row>
    <row r="30" customFormat="false" ht="15" hidden="false" customHeight="false" outlineLevel="0" collapsed="false">
      <c r="B30" s="30"/>
      <c r="C30" s="17"/>
      <c r="D30" s="17"/>
      <c r="E30" s="26"/>
      <c r="G30" s="11" t="str">
        <f aca="false">IF(Setup!E28="","",Setup!E28)</f>
        <v/>
      </c>
      <c r="H30" s="22" t="str">
        <f aca="false">IF(G30="","",Setup!G28)</f>
        <v/>
      </c>
      <c r="I30" s="22" t="str">
        <f aca="false">IF(G30="","",SUMIFS($E$7:$E$86,$D$7:$D$86,G30))</f>
        <v/>
      </c>
      <c r="J30" s="22" t="str">
        <f aca="false">IF(G30="","",H30-I30)</f>
        <v/>
      </c>
      <c r="K30" s="33" t="str">
        <f aca="false">IF(OR(G30="",H30=0),"",I30/H30)</f>
        <v/>
      </c>
    </row>
    <row r="31" customFormat="false" ht="15" hidden="false" customHeight="false" outlineLevel="0" collapsed="false">
      <c r="B31" s="30"/>
      <c r="C31" s="17"/>
      <c r="D31" s="17"/>
      <c r="E31" s="26"/>
      <c r="G31" s="11" t="str">
        <f aca="false">IF(Setup!E29="","",Setup!E29)</f>
        <v/>
      </c>
      <c r="H31" s="22" t="str">
        <f aca="false">IF(G31="","",Setup!G29)</f>
        <v/>
      </c>
      <c r="I31" s="22" t="str">
        <f aca="false">IF(G31="","",SUMIFS($E$7:$E$86,$D$7:$D$86,G31))</f>
        <v/>
      </c>
      <c r="J31" s="22" t="str">
        <f aca="false">IF(G31="","",H31-I31)</f>
        <v/>
      </c>
      <c r="K31" s="33" t="str">
        <f aca="false">IF(OR(G31="",H31=0),"",I31/H31)</f>
        <v/>
      </c>
    </row>
    <row r="32" customFormat="false" ht="15" hidden="false" customHeight="false" outlineLevel="0" collapsed="false">
      <c r="B32" s="30"/>
      <c r="C32" s="17"/>
      <c r="D32" s="17"/>
      <c r="E32" s="26"/>
      <c r="G32" s="11" t="str">
        <f aca="false">IF(Setup!E30="","",Setup!E30)</f>
        <v/>
      </c>
      <c r="H32" s="22" t="str">
        <f aca="false">IF(G32="","",Setup!G30)</f>
        <v/>
      </c>
      <c r="I32" s="22" t="str">
        <f aca="false">IF(G32="","",SUMIFS($E$7:$E$86,$D$7:$D$86,G32))</f>
        <v/>
      </c>
      <c r="J32" s="22" t="str">
        <f aca="false">IF(G32="","",H32-I32)</f>
        <v/>
      </c>
      <c r="K32" s="33" t="str">
        <f aca="false">IF(OR(G32="",H32=0),"",I32/H32)</f>
        <v/>
      </c>
    </row>
    <row r="33" customFormat="false" ht="15" hidden="false" customHeight="false" outlineLevel="0" collapsed="false">
      <c r="B33" s="30"/>
      <c r="C33" s="17"/>
      <c r="D33" s="17"/>
      <c r="E33" s="26"/>
      <c r="G33" s="11" t="str">
        <f aca="false">IF(Setup!E31="","",Setup!E31)</f>
        <v/>
      </c>
      <c r="H33" s="22" t="str">
        <f aca="false">IF(G33="","",Setup!G31)</f>
        <v/>
      </c>
      <c r="I33" s="22" t="str">
        <f aca="false">IF(G33="","",SUMIFS($E$7:$E$86,$D$7:$D$86,G33))</f>
        <v/>
      </c>
      <c r="J33" s="22" t="str">
        <f aca="false">IF(G33="","",H33-I33)</f>
        <v/>
      </c>
      <c r="K33" s="33" t="str">
        <f aca="false">IF(OR(G33="",H33=0),"",I33/H33)</f>
        <v/>
      </c>
    </row>
    <row r="34" customFormat="false" ht="15" hidden="false" customHeight="false" outlineLevel="0" collapsed="false">
      <c r="B34" s="30"/>
      <c r="C34" s="17"/>
      <c r="D34" s="17"/>
      <c r="E34" s="26"/>
      <c r="G34" s="11" t="str">
        <f aca="false">IF(Setup!E32="","",Setup!E32)</f>
        <v/>
      </c>
      <c r="H34" s="22" t="str">
        <f aca="false">IF(G34="","",Setup!G32)</f>
        <v/>
      </c>
      <c r="I34" s="22" t="str">
        <f aca="false">IF(G34="","",SUMIFS($E$7:$E$86,$D$7:$D$86,G34))</f>
        <v/>
      </c>
      <c r="J34" s="22" t="str">
        <f aca="false">IF(G34="","",H34-I34)</f>
        <v/>
      </c>
      <c r="K34" s="33" t="str">
        <f aca="false">IF(OR(G34="",H34=0),"",I34/H34)</f>
        <v/>
      </c>
    </row>
    <row r="35" customFormat="false" ht="15" hidden="false" customHeight="false" outlineLevel="0" collapsed="false">
      <c r="B35" s="30"/>
      <c r="C35" s="17"/>
      <c r="D35" s="17"/>
      <c r="E35" s="26"/>
      <c r="G35" s="11" t="str">
        <f aca="false">IF(Setup!E33="","",Setup!E33)</f>
        <v/>
      </c>
      <c r="H35" s="22" t="str">
        <f aca="false">IF(G35="","",Setup!G33)</f>
        <v/>
      </c>
      <c r="I35" s="22" t="str">
        <f aca="false">IF(G35="","",SUMIFS($E$7:$E$86,$D$7:$D$86,G35))</f>
        <v/>
      </c>
      <c r="J35" s="22" t="str">
        <f aca="false">IF(G35="","",H35-I35)</f>
        <v/>
      </c>
      <c r="K35" s="33" t="str">
        <f aca="false">IF(OR(G35="",H35=0),"",I35/H35)</f>
        <v/>
      </c>
    </row>
    <row r="36" customFormat="false" ht="15" hidden="false" customHeight="false" outlineLevel="0" collapsed="false">
      <c r="B36" s="30"/>
      <c r="C36" s="17"/>
      <c r="D36" s="17"/>
      <c r="E36" s="26"/>
      <c r="G36" s="11" t="str">
        <f aca="false">IF(Setup!E34="","",Setup!E34)</f>
        <v/>
      </c>
      <c r="H36" s="22" t="str">
        <f aca="false">IF(G36="","",Setup!G34)</f>
        <v/>
      </c>
      <c r="I36" s="22" t="str">
        <f aca="false">IF(G36="","",SUMIFS($E$7:$E$86,$D$7:$D$86,G36))</f>
        <v/>
      </c>
      <c r="J36" s="22" t="str">
        <f aca="false">IF(G36="","",H36-I36)</f>
        <v/>
      </c>
      <c r="K36" s="33" t="str">
        <f aca="false">IF(OR(G36="",H36=0),"",I36/H36)</f>
        <v/>
      </c>
    </row>
    <row r="37" customFormat="false" ht="15" hidden="false" customHeight="false" outlineLevel="0" collapsed="false">
      <c r="B37" s="30"/>
      <c r="C37" s="17"/>
      <c r="D37" s="17"/>
      <c r="E37" s="26"/>
      <c r="G37" s="11" t="str">
        <f aca="false">IF(Setup!E35="","",Setup!E35)</f>
        <v/>
      </c>
      <c r="H37" s="22" t="str">
        <f aca="false">IF(G37="","",Setup!G35)</f>
        <v/>
      </c>
      <c r="I37" s="22" t="str">
        <f aca="false">IF(G37="","",SUMIFS($E$7:$E$86,$D$7:$D$86,G37))</f>
        <v/>
      </c>
      <c r="J37" s="22" t="str">
        <f aca="false">IF(G37="","",H37-I37)</f>
        <v/>
      </c>
      <c r="K37" s="33" t="str">
        <f aca="false">IF(OR(G37="",H37=0),"",I37/H37)</f>
        <v/>
      </c>
    </row>
    <row r="38" customFormat="false" ht="15" hidden="false" customHeight="false" outlineLevel="0" collapsed="false">
      <c r="B38" s="30"/>
      <c r="C38" s="17"/>
      <c r="D38" s="17"/>
      <c r="E38" s="26"/>
      <c r="G38" s="11" t="str">
        <f aca="false">IF(Setup!E36="","",Setup!E36)</f>
        <v/>
      </c>
      <c r="H38" s="22" t="str">
        <f aca="false">IF(G38="","",Setup!G36)</f>
        <v/>
      </c>
      <c r="I38" s="22" t="str">
        <f aca="false">IF(G38="","",SUMIFS($E$7:$E$86,$D$7:$D$86,G38))</f>
        <v/>
      </c>
      <c r="J38" s="22" t="str">
        <f aca="false">IF(G38="","",H38-I38)</f>
        <v/>
      </c>
      <c r="K38" s="33" t="str">
        <f aca="false">IF(OR(G38="",H38=0),"",I38/H38)</f>
        <v/>
      </c>
    </row>
    <row r="39" customFormat="false" ht="15" hidden="false" customHeight="false" outlineLevel="0" collapsed="false">
      <c r="B39" s="30"/>
      <c r="C39" s="17"/>
      <c r="D39" s="17"/>
      <c r="E39" s="26"/>
      <c r="G39" s="11" t="str">
        <f aca="false">IF(Setup!E37="","",Setup!E37)</f>
        <v/>
      </c>
      <c r="H39" s="22" t="str">
        <f aca="false">IF(G39="","",Setup!G37)</f>
        <v/>
      </c>
      <c r="I39" s="22" t="str">
        <f aca="false">IF(G39="","",SUMIFS($E$7:$E$86,$D$7:$D$86,G39))</f>
        <v/>
      </c>
      <c r="J39" s="22" t="str">
        <f aca="false">IF(G39="","",H39-I39)</f>
        <v/>
      </c>
      <c r="K39" s="33" t="str">
        <f aca="false">IF(OR(G39="",H39=0),"",I39/H39)</f>
        <v/>
      </c>
    </row>
    <row r="40" customFormat="false" ht="15" hidden="false" customHeight="false" outlineLevel="0" collapsed="false">
      <c r="B40" s="30"/>
      <c r="C40" s="17"/>
      <c r="D40" s="17"/>
      <c r="E40" s="26"/>
      <c r="G40" s="11" t="str">
        <f aca="false">IF(Setup!E38="","",Setup!E38)</f>
        <v/>
      </c>
      <c r="H40" s="22" t="str">
        <f aca="false">IF(G40="","",Setup!G38)</f>
        <v/>
      </c>
      <c r="I40" s="22" t="str">
        <f aca="false">IF(G40="","",SUMIFS($E$7:$E$86,$D$7:$D$86,G40))</f>
        <v/>
      </c>
      <c r="J40" s="22" t="str">
        <f aca="false">IF(G40="","",H40-I40)</f>
        <v/>
      </c>
      <c r="K40" s="33" t="str">
        <f aca="false">IF(OR(G40="",H40=0),"",I40/H40)</f>
        <v/>
      </c>
    </row>
    <row r="41" customFormat="false" ht="15" hidden="false" customHeight="false" outlineLevel="0" collapsed="false">
      <c r="B41" s="30"/>
      <c r="C41" s="17"/>
      <c r="D41" s="17"/>
      <c r="E41" s="26"/>
      <c r="G41" s="11" t="str">
        <f aca="false">IF(Setup!E39="","",Setup!E39)</f>
        <v/>
      </c>
      <c r="H41" s="22" t="str">
        <f aca="false">IF(G41="","",Setup!G39)</f>
        <v/>
      </c>
      <c r="I41" s="22" t="str">
        <f aca="false">IF(G41="","",SUMIFS($E$7:$E$86,$D$7:$D$86,G41))</f>
        <v/>
      </c>
      <c r="J41" s="22" t="str">
        <f aca="false">IF(G41="","",H41-I41)</f>
        <v/>
      </c>
      <c r="K41" s="33" t="str">
        <f aca="false">IF(OR(G41="",H41=0),"",I41/H41)</f>
        <v/>
      </c>
    </row>
    <row r="42" customFormat="false" ht="15" hidden="false" customHeight="false" outlineLevel="0" collapsed="false">
      <c r="B42" s="30"/>
      <c r="C42" s="17"/>
      <c r="D42" s="17"/>
      <c r="E42" s="26"/>
    </row>
    <row r="43" customFormat="false" ht="15" hidden="false" customHeight="false" outlineLevel="0" collapsed="false">
      <c r="B43" s="30"/>
      <c r="C43" s="17"/>
      <c r="D43" s="17"/>
      <c r="E43" s="26"/>
    </row>
    <row r="44" customFormat="false" ht="15" hidden="false" customHeight="false" outlineLevel="0" collapsed="false">
      <c r="B44" s="30"/>
      <c r="C44" s="17"/>
      <c r="D44" s="17"/>
      <c r="E44" s="26"/>
    </row>
    <row r="45" customFormat="false" ht="15" hidden="false" customHeight="false" outlineLevel="0" collapsed="false">
      <c r="B45" s="30"/>
      <c r="C45" s="17"/>
      <c r="D45" s="17"/>
      <c r="E45" s="26"/>
    </row>
    <row r="46" customFormat="false" ht="15" hidden="false" customHeight="false" outlineLevel="0" collapsed="false">
      <c r="B46" s="30"/>
      <c r="C46" s="17"/>
      <c r="D46" s="17"/>
      <c r="E46" s="26"/>
    </row>
    <row r="47" customFormat="false" ht="15" hidden="false" customHeight="false" outlineLevel="0" collapsed="false">
      <c r="B47" s="30"/>
      <c r="C47" s="17"/>
      <c r="D47" s="17"/>
      <c r="E47" s="26"/>
    </row>
    <row r="48" customFormat="false" ht="15" hidden="false" customHeight="false" outlineLevel="0" collapsed="false">
      <c r="B48" s="30"/>
      <c r="C48" s="17"/>
      <c r="D48" s="17"/>
      <c r="E48" s="26"/>
    </row>
    <row r="49" customFormat="false" ht="15" hidden="false" customHeight="false" outlineLevel="0" collapsed="false">
      <c r="B49" s="30"/>
      <c r="C49" s="17"/>
      <c r="D49" s="17"/>
      <c r="E49" s="26"/>
    </row>
    <row r="50" customFormat="false" ht="15" hidden="false" customHeight="false" outlineLevel="0" collapsed="false">
      <c r="B50" s="30"/>
      <c r="C50" s="17"/>
      <c r="D50" s="17"/>
      <c r="E50" s="26"/>
    </row>
    <row r="51" customFormat="false" ht="15" hidden="false" customHeight="false" outlineLevel="0" collapsed="false">
      <c r="B51" s="30"/>
      <c r="C51" s="17"/>
      <c r="D51" s="17"/>
      <c r="E51" s="26"/>
    </row>
    <row r="52" customFormat="false" ht="15" hidden="false" customHeight="false" outlineLevel="0" collapsed="false">
      <c r="B52" s="30"/>
      <c r="C52" s="17"/>
      <c r="D52" s="17"/>
      <c r="E52" s="26"/>
    </row>
    <row r="53" customFormat="false" ht="15" hidden="false" customHeight="false" outlineLevel="0" collapsed="false">
      <c r="B53" s="30"/>
      <c r="C53" s="17"/>
      <c r="D53" s="17"/>
      <c r="E53" s="26"/>
    </row>
    <row r="54" customFormat="false" ht="15" hidden="false" customHeight="false" outlineLevel="0" collapsed="false">
      <c r="B54" s="30"/>
      <c r="C54" s="17"/>
      <c r="D54" s="17"/>
      <c r="E54" s="26"/>
    </row>
    <row r="55" customFormat="false" ht="15" hidden="false" customHeight="false" outlineLevel="0" collapsed="false">
      <c r="B55" s="30"/>
      <c r="C55" s="17"/>
      <c r="D55" s="17"/>
      <c r="E55" s="26"/>
    </row>
    <row r="56" customFormat="false" ht="15" hidden="false" customHeight="false" outlineLevel="0" collapsed="false">
      <c r="B56" s="30"/>
      <c r="C56" s="17"/>
      <c r="D56" s="17"/>
      <c r="E56" s="26"/>
    </row>
    <row r="57" customFormat="false" ht="15" hidden="false" customHeight="false" outlineLevel="0" collapsed="false">
      <c r="B57" s="30"/>
      <c r="C57" s="17"/>
      <c r="D57" s="17"/>
      <c r="E57" s="26"/>
    </row>
    <row r="58" customFormat="false" ht="15" hidden="false" customHeight="false" outlineLevel="0" collapsed="false">
      <c r="B58" s="30"/>
      <c r="C58" s="17"/>
      <c r="D58" s="17"/>
      <c r="E58" s="26"/>
    </row>
    <row r="59" customFormat="false" ht="15" hidden="false" customHeight="false" outlineLevel="0" collapsed="false">
      <c r="B59" s="30"/>
      <c r="C59" s="17"/>
      <c r="D59" s="17"/>
      <c r="E59" s="26"/>
    </row>
    <row r="60" customFormat="false" ht="15" hidden="false" customHeight="false" outlineLevel="0" collapsed="false">
      <c r="B60" s="30"/>
      <c r="C60" s="17"/>
      <c r="D60" s="17"/>
      <c r="E60" s="26"/>
    </row>
    <row r="61" customFormat="false" ht="15" hidden="false" customHeight="false" outlineLevel="0" collapsed="false">
      <c r="B61" s="30"/>
      <c r="C61" s="17"/>
      <c r="D61" s="17"/>
      <c r="E61" s="26"/>
    </row>
    <row r="62" customFormat="false" ht="15" hidden="false" customHeight="false" outlineLevel="0" collapsed="false">
      <c r="B62" s="30"/>
      <c r="C62" s="17"/>
      <c r="D62" s="17"/>
      <c r="E62" s="26"/>
    </row>
    <row r="63" customFormat="false" ht="15" hidden="false" customHeight="false" outlineLevel="0" collapsed="false">
      <c r="B63" s="30"/>
      <c r="C63" s="17"/>
      <c r="D63" s="17"/>
      <c r="E63" s="26"/>
    </row>
    <row r="64" customFormat="false" ht="15" hidden="false" customHeight="false" outlineLevel="0" collapsed="false">
      <c r="B64" s="30"/>
      <c r="C64" s="17"/>
      <c r="D64" s="17"/>
      <c r="E64" s="26"/>
    </row>
    <row r="65" customFormat="false" ht="15" hidden="false" customHeight="false" outlineLevel="0" collapsed="false">
      <c r="B65" s="30"/>
      <c r="C65" s="17"/>
      <c r="D65" s="17"/>
      <c r="E65" s="26"/>
    </row>
    <row r="66" customFormat="false" ht="15" hidden="false" customHeight="false" outlineLevel="0" collapsed="false">
      <c r="B66" s="30"/>
      <c r="C66" s="17"/>
      <c r="D66" s="17"/>
      <c r="E66" s="26"/>
    </row>
    <row r="67" customFormat="false" ht="15" hidden="false" customHeight="false" outlineLevel="0" collapsed="false">
      <c r="B67" s="30"/>
      <c r="C67" s="17"/>
      <c r="D67" s="17"/>
      <c r="E67" s="26"/>
    </row>
    <row r="68" customFormat="false" ht="15" hidden="false" customHeight="false" outlineLevel="0" collapsed="false">
      <c r="B68" s="30"/>
      <c r="C68" s="17"/>
      <c r="D68" s="17"/>
      <c r="E68" s="26"/>
    </row>
    <row r="69" customFormat="false" ht="15" hidden="false" customHeight="false" outlineLevel="0" collapsed="false">
      <c r="B69" s="30"/>
      <c r="C69" s="17"/>
      <c r="D69" s="17"/>
      <c r="E69" s="26"/>
    </row>
    <row r="70" customFormat="false" ht="15" hidden="false" customHeight="false" outlineLevel="0" collapsed="false">
      <c r="B70" s="30"/>
      <c r="C70" s="17"/>
      <c r="D70" s="17"/>
      <c r="E70" s="26"/>
    </row>
    <row r="71" customFormat="false" ht="15" hidden="false" customHeight="false" outlineLevel="0" collapsed="false">
      <c r="B71" s="30"/>
      <c r="C71" s="17"/>
      <c r="D71" s="17"/>
      <c r="E71" s="26"/>
    </row>
    <row r="72" customFormat="false" ht="15" hidden="false" customHeight="false" outlineLevel="0" collapsed="false">
      <c r="B72" s="30"/>
      <c r="C72" s="17"/>
      <c r="D72" s="17"/>
      <c r="E72" s="26"/>
    </row>
    <row r="73" customFormat="false" ht="15" hidden="false" customHeight="false" outlineLevel="0" collapsed="false">
      <c r="B73" s="30"/>
      <c r="C73" s="17"/>
      <c r="D73" s="17"/>
      <c r="E73" s="26"/>
    </row>
    <row r="74" customFormat="false" ht="15" hidden="false" customHeight="false" outlineLevel="0" collapsed="false">
      <c r="B74" s="30"/>
      <c r="C74" s="17"/>
      <c r="D74" s="17"/>
      <c r="E74" s="26"/>
    </row>
    <row r="75" customFormat="false" ht="15" hidden="false" customHeight="false" outlineLevel="0" collapsed="false">
      <c r="B75" s="30"/>
      <c r="C75" s="17"/>
      <c r="D75" s="17"/>
      <c r="E75" s="26"/>
    </row>
    <row r="76" customFormat="false" ht="15" hidden="false" customHeight="false" outlineLevel="0" collapsed="false">
      <c r="B76" s="30"/>
      <c r="C76" s="17"/>
      <c r="D76" s="17"/>
      <c r="E76" s="26"/>
    </row>
    <row r="77" customFormat="false" ht="15" hidden="false" customHeight="false" outlineLevel="0" collapsed="false">
      <c r="B77" s="30"/>
      <c r="C77" s="17"/>
      <c r="D77" s="17"/>
      <c r="E77" s="26"/>
    </row>
    <row r="78" customFormat="false" ht="15" hidden="false" customHeight="false" outlineLevel="0" collapsed="false">
      <c r="B78" s="30"/>
      <c r="C78" s="17"/>
      <c r="D78" s="17"/>
      <c r="E78" s="26"/>
    </row>
    <row r="79" customFormat="false" ht="15" hidden="false" customHeight="false" outlineLevel="0" collapsed="false">
      <c r="B79" s="30"/>
      <c r="C79" s="17"/>
      <c r="D79" s="17"/>
      <c r="E79" s="26"/>
    </row>
    <row r="80" customFormat="false" ht="15" hidden="false" customHeight="false" outlineLevel="0" collapsed="false">
      <c r="B80" s="30"/>
      <c r="C80" s="17"/>
      <c r="D80" s="17"/>
      <c r="E80" s="26"/>
    </row>
    <row r="81" customFormat="false" ht="15" hidden="false" customHeight="false" outlineLevel="0" collapsed="false">
      <c r="B81" s="30"/>
      <c r="C81" s="17"/>
      <c r="D81" s="17"/>
      <c r="E81" s="26"/>
    </row>
    <row r="82" customFormat="false" ht="15" hidden="false" customHeight="false" outlineLevel="0" collapsed="false">
      <c r="B82" s="30"/>
      <c r="C82" s="17"/>
      <c r="D82" s="17"/>
      <c r="E82" s="26"/>
    </row>
    <row r="83" customFormat="false" ht="15" hidden="false" customHeight="false" outlineLevel="0" collapsed="false">
      <c r="B83" s="30"/>
      <c r="C83" s="17"/>
      <c r="D83" s="17"/>
      <c r="E83" s="26"/>
    </row>
    <row r="84" customFormat="false" ht="15" hidden="false" customHeight="false" outlineLevel="0" collapsed="false">
      <c r="B84" s="30"/>
      <c r="C84" s="17"/>
      <c r="D84" s="17"/>
      <c r="E84" s="26"/>
    </row>
    <row r="85" customFormat="false" ht="15" hidden="false" customHeight="false" outlineLevel="0" collapsed="false">
      <c r="B85" s="30"/>
      <c r="C85" s="17"/>
      <c r="D85" s="17"/>
      <c r="E85" s="26"/>
    </row>
    <row r="86" customFormat="false" ht="15" hidden="false" customHeight="false" outlineLevel="0" collapsed="false">
      <c r="B86" s="30"/>
      <c r="C86" s="17"/>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K12:K41">
    <cfRule type="dataBar" priority="4">
      <dataBar showValue="1" minLength="10" maxLength="90">
        <cfvo type="num" val="0"/>
        <cfvo type="num" val="1"/>
        <color rgb="FF2F6F5E"/>
      </dataBar>
      <extLst>
        <ext xmlns:x14="http://schemas.microsoft.com/office/spreadsheetml/2009/9/main" uri="{B025F937-C7B1-47D3-B67F-A62EFF666E3E}">
          <x14:id>{C0651B90-5B3A-49A3-9E64-3EE0724EB62B}</x14:id>
        </ext>
      </extLst>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r:id="rId1" location="'Start%20here'!A1" display="Start here"/>
    <hyperlink ref="C4" r:id="rId2" location="'Dashboard'!A1" display="Dashboard"/>
    <hyperlink ref="D4" r:id="rId3" location="'Setup'!A1" display="Setup"/>
    <hyperlink ref="E4" r:id="rId4" location="'January'!A1" display="Months"/>
    <hyperlink ref="F4" r:id="rId5" location="'Bills'!A1" display="Bills"/>
    <hyperlink ref="G4" r:id="rId6" location="'Paycheck%20plan'!A1" display="Paycheck"/>
    <hyperlink ref="H4" r:id="rId7" location="'Debt%20payoff'!A1" display="Debt"/>
    <hyperlink ref="I4" r:id="rId8" location="'Savings%20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C0651B90-5B3A-49A3-9E64-3EE0724EB62B}">
            <x14:dataBar minLength="10" maxLength="90" axisPosition="none" gradient="true">
              <x14:cfvo type="num">
                <xm:f>0</xm:f>
              </x14:cfvo>
              <x14:cfvo type="num">
                <xm:f>1</xm:f>
              </x14:cfvo>
              <x14:negativeFillColor rgb="FF2F6F5E"/>
              <x14:axisColor rgb="FF000000"/>
            </x14:dataBar>
          </x14:cfRule>
          <xm:sqref>K12:K41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K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10"/>
    <col collapsed="false" customWidth="true" hidden="false" outlineLevel="0" max="29" min="12" style="0" width="14"/>
  </cols>
  <sheetData>
    <row r="2" customFormat="false" ht="33.75" hidden="false" customHeight="true" outlineLevel="0" collapsed="false">
      <c r="B2" s="1" t="s">
        <v>25</v>
      </c>
    </row>
    <row r="3" customFormat="false" ht="15" hidden="false" customHeight="false" outlineLevel="0" collapsed="false">
      <c r="B3" s="2" t="s">
        <v>99</v>
      </c>
    </row>
    <row r="4" customFormat="false" ht="15" hidden="false" customHeight="false" outlineLevel="0" collapsed="false">
      <c r="B4" s="3" t="s">
        <v>2</v>
      </c>
      <c r="C4" s="3" t="s">
        <v>3</v>
      </c>
      <c r="D4" s="3" t="s">
        <v>4</v>
      </c>
      <c r="E4" s="3" t="s">
        <v>5</v>
      </c>
      <c r="F4" s="3" t="s">
        <v>6</v>
      </c>
      <c r="G4" s="3" t="s">
        <v>7</v>
      </c>
      <c r="H4" s="3" t="s">
        <v>8</v>
      </c>
      <c r="I4" s="3" t="s">
        <v>9</v>
      </c>
    </row>
    <row r="6" customFormat="false" ht="21.75" hidden="false" customHeight="true" outlineLevel="0" collapsed="false">
      <c r="B6" s="10" t="s">
        <v>100</v>
      </c>
      <c r="C6" s="10" t="s">
        <v>101</v>
      </c>
      <c r="D6" s="10" t="s">
        <v>64</v>
      </c>
      <c r="E6" s="10" t="s">
        <v>102</v>
      </c>
      <c r="G6" s="27" t="s">
        <v>103</v>
      </c>
      <c r="H6" s="28" t="n">
        <f aca="false">Setup!$C$18</f>
        <v>3900</v>
      </c>
      <c r="I6" s="29" t="s">
        <v>104</v>
      </c>
    </row>
    <row r="7" customFormat="false" ht="15" hidden="false" customHeight="false" outlineLevel="0" collapsed="false">
      <c r="B7" s="30"/>
      <c r="C7" s="17"/>
      <c r="D7" s="17"/>
      <c r="E7" s="26"/>
      <c r="G7" s="31" t="s">
        <v>61</v>
      </c>
      <c r="H7" s="32" t="n">
        <f aca="false">SUM(E7:E86)</f>
        <v>0</v>
      </c>
    </row>
    <row r="8" customFormat="false" ht="15" hidden="false" customHeight="false" outlineLevel="0" collapsed="false">
      <c r="B8" s="30"/>
      <c r="C8" s="17"/>
      <c r="D8" s="17"/>
      <c r="E8" s="26"/>
      <c r="G8" s="31" t="s">
        <v>62</v>
      </c>
      <c r="H8" s="32" t="n">
        <f aca="false">H6-H7</f>
        <v>3900</v>
      </c>
    </row>
    <row r="9" customFormat="false" ht="15" hidden="false" customHeight="false" outlineLevel="0" collapsed="false">
      <c r="B9" s="30"/>
      <c r="C9" s="17"/>
      <c r="D9" s="17"/>
      <c r="E9" s="26"/>
      <c r="G9" s="31" t="s">
        <v>108</v>
      </c>
      <c r="H9" s="32" t="n">
        <f aca="false">SUMPRODUCT(SUMIFS($E$7:$E$86,$D$7:$D$86,Setup!$E$10:$E$39)*((Setup!$F$10:$F$39="Savings")+(Setup!$F$10:$F$39="Debt")))</f>
        <v>0</v>
      </c>
    </row>
    <row r="10" customFormat="false" ht="15" hidden="false" customHeight="false" outlineLevel="0" collapsed="false">
      <c r="B10" s="30"/>
      <c r="C10" s="17"/>
      <c r="D10" s="17"/>
      <c r="E10" s="26"/>
    </row>
    <row r="11" customFormat="false" ht="21.75" hidden="false" customHeight="true" outlineLevel="0" collapsed="false">
      <c r="B11" s="30"/>
      <c r="C11" s="17"/>
      <c r="D11" s="17"/>
      <c r="E11" s="26"/>
      <c r="G11" s="10" t="s">
        <v>64</v>
      </c>
      <c r="H11" s="10" t="s">
        <v>110</v>
      </c>
      <c r="I11" s="10" t="s">
        <v>61</v>
      </c>
      <c r="J11" s="10" t="s">
        <v>111</v>
      </c>
      <c r="K11" s="10" t="s">
        <v>112</v>
      </c>
    </row>
    <row r="12" customFormat="false" ht="15" hidden="false" customHeight="false" outlineLevel="0" collapsed="false">
      <c r="B12" s="30"/>
      <c r="C12" s="17"/>
      <c r="D12" s="17"/>
      <c r="E12" s="26"/>
      <c r="G12" s="11" t="str">
        <f aca="false">IF(Setup!E10="","",Setup!E10)</f>
        <v>Rent or mortgage</v>
      </c>
      <c r="H12" s="22" t="n">
        <f aca="false">IF(G12="","",Setup!G10)</f>
        <v>1400</v>
      </c>
      <c r="I12" s="22" t="n">
        <f aca="false">IF(G12="","",SUMIFS($E$7:$E$86,$D$7:$D$86,G12))</f>
        <v>0</v>
      </c>
      <c r="J12" s="22" t="n">
        <f aca="false">IF(G12="","",H12-I12)</f>
        <v>1400</v>
      </c>
      <c r="K12" s="33" t="n">
        <f aca="false">IF(OR(G12="",H12=0),"",I12/H12)</f>
        <v>0</v>
      </c>
    </row>
    <row r="13" customFormat="false" ht="15" hidden="false" customHeight="false" outlineLevel="0" collapsed="false">
      <c r="B13" s="30"/>
      <c r="C13" s="17"/>
      <c r="D13" s="17"/>
      <c r="E13" s="26"/>
      <c r="G13" s="11" t="str">
        <f aca="false">IF(Setup!E11="","",Setup!E11)</f>
        <v>Utilities</v>
      </c>
      <c r="H13" s="22" t="n">
        <f aca="false">IF(G13="","",Setup!G11)</f>
        <v>180</v>
      </c>
      <c r="I13" s="22" t="n">
        <f aca="false">IF(G13="","",SUMIFS($E$7:$E$86,$D$7:$D$86,G13))</f>
        <v>0</v>
      </c>
      <c r="J13" s="22" t="n">
        <f aca="false">IF(G13="","",H13-I13)</f>
        <v>180</v>
      </c>
      <c r="K13" s="33" t="n">
        <f aca="false">IF(OR(G13="",H13=0),"",I13/H13)</f>
        <v>0</v>
      </c>
    </row>
    <row r="14" customFormat="false" ht="15" hidden="false" customHeight="false" outlineLevel="0" collapsed="false">
      <c r="B14" s="30"/>
      <c r="C14" s="17"/>
      <c r="D14" s="17"/>
      <c r="E14" s="26"/>
      <c r="G14" s="11" t="str">
        <f aca="false">IF(Setup!E12="","",Setup!E12)</f>
        <v>Groceries</v>
      </c>
      <c r="H14" s="22" t="n">
        <f aca="false">IF(G14="","",Setup!G12)</f>
        <v>500</v>
      </c>
      <c r="I14" s="22" t="n">
        <f aca="false">IF(G14="","",SUMIFS($E$7:$E$86,$D$7:$D$86,G14))</f>
        <v>0</v>
      </c>
      <c r="J14" s="22" t="n">
        <f aca="false">IF(G14="","",H14-I14)</f>
        <v>500</v>
      </c>
      <c r="K14" s="33" t="n">
        <f aca="false">IF(OR(G14="",H14=0),"",I14/H14)</f>
        <v>0</v>
      </c>
    </row>
    <row r="15" customFormat="false" ht="15" hidden="false" customHeight="false" outlineLevel="0" collapsed="false">
      <c r="B15" s="30"/>
      <c r="C15" s="17"/>
      <c r="D15" s="17"/>
      <c r="E15" s="26"/>
      <c r="G15" s="11" t="str">
        <f aca="false">IF(Setup!E13="","",Setup!E13)</f>
        <v>Transport</v>
      </c>
      <c r="H15" s="22" t="n">
        <f aca="false">IF(G15="","",Setup!G13)</f>
        <v>220</v>
      </c>
      <c r="I15" s="22" t="n">
        <f aca="false">IF(G15="","",SUMIFS($E$7:$E$86,$D$7:$D$86,G15))</f>
        <v>0</v>
      </c>
      <c r="J15" s="22" t="n">
        <f aca="false">IF(G15="","",H15-I15)</f>
        <v>220</v>
      </c>
      <c r="K15" s="33" t="n">
        <f aca="false">IF(OR(G15="",H15=0),"",I15/H15)</f>
        <v>0</v>
      </c>
    </row>
    <row r="16" customFormat="false" ht="15" hidden="false" customHeight="false" outlineLevel="0" collapsed="false">
      <c r="B16" s="30"/>
      <c r="C16" s="17"/>
      <c r="D16" s="17"/>
      <c r="E16" s="26"/>
      <c r="G16" s="11" t="str">
        <f aca="false">IF(Setup!E14="","",Setup!E14)</f>
        <v>Insurance</v>
      </c>
      <c r="H16" s="22" t="n">
        <f aca="false">IF(G16="","",Setup!G14)</f>
        <v>160</v>
      </c>
      <c r="I16" s="22" t="n">
        <f aca="false">IF(G16="","",SUMIFS($E$7:$E$86,$D$7:$D$86,G16))</f>
        <v>0</v>
      </c>
      <c r="J16" s="22" t="n">
        <f aca="false">IF(G16="","",H16-I16)</f>
        <v>160</v>
      </c>
      <c r="K16" s="33" t="n">
        <f aca="false">IF(OR(G16="",H16=0),"",I16/H16)</f>
        <v>0</v>
      </c>
    </row>
    <row r="17" customFormat="false" ht="15" hidden="false" customHeight="false" outlineLevel="0" collapsed="false">
      <c r="B17" s="30"/>
      <c r="C17" s="17"/>
      <c r="D17" s="17"/>
      <c r="E17" s="26"/>
      <c r="G17" s="11" t="str">
        <f aca="false">IF(Setup!E15="","",Setup!E15)</f>
        <v>Phone and internet</v>
      </c>
      <c r="H17" s="22" t="n">
        <f aca="false">IF(G17="","",Setup!G15)</f>
        <v>95</v>
      </c>
      <c r="I17" s="22" t="n">
        <f aca="false">IF(G17="","",SUMIFS($E$7:$E$86,$D$7:$D$86,G17))</f>
        <v>0</v>
      </c>
      <c r="J17" s="22" t="n">
        <f aca="false">IF(G17="","",H17-I17)</f>
        <v>95</v>
      </c>
      <c r="K17" s="33" t="n">
        <f aca="false">IF(OR(G17="",H17=0),"",I17/H17)</f>
        <v>0</v>
      </c>
    </row>
    <row r="18" customFormat="false" ht="15" hidden="false" customHeight="false" outlineLevel="0" collapsed="false">
      <c r="B18" s="30"/>
      <c r="C18" s="17"/>
      <c r="D18" s="17"/>
      <c r="E18" s="26"/>
      <c r="G18" s="11" t="str">
        <f aca="false">IF(Setup!E16="","",Setup!E16)</f>
        <v>Medical</v>
      </c>
      <c r="H18" s="22" t="n">
        <f aca="false">IF(G18="","",Setup!G16)</f>
        <v>60</v>
      </c>
      <c r="I18" s="22" t="n">
        <f aca="false">IF(G18="","",SUMIFS($E$7:$E$86,$D$7:$D$86,G18))</f>
        <v>0</v>
      </c>
      <c r="J18" s="22" t="n">
        <f aca="false">IF(G18="","",H18-I18)</f>
        <v>60</v>
      </c>
      <c r="K18" s="33" t="n">
        <f aca="false">IF(OR(G18="",H18=0),"",I18/H18)</f>
        <v>0</v>
      </c>
    </row>
    <row r="19" customFormat="false" ht="15" hidden="false" customHeight="false" outlineLevel="0" collapsed="false">
      <c r="B19" s="30"/>
      <c r="C19" s="17"/>
      <c r="D19" s="17"/>
      <c r="E19" s="26"/>
      <c r="G19" s="11" t="str">
        <f aca="false">IF(Setup!E17="","",Setup!E17)</f>
        <v>Eating out</v>
      </c>
      <c r="H19" s="22" t="n">
        <f aca="false">IF(G19="","",Setup!G17)</f>
        <v>150</v>
      </c>
      <c r="I19" s="22" t="n">
        <f aca="false">IF(G19="","",SUMIFS($E$7:$E$86,$D$7:$D$86,G19))</f>
        <v>0</v>
      </c>
      <c r="J19" s="22" t="n">
        <f aca="false">IF(G19="","",H19-I19)</f>
        <v>150</v>
      </c>
      <c r="K19" s="33" t="n">
        <f aca="false">IF(OR(G19="",H19=0),"",I19/H19)</f>
        <v>0</v>
      </c>
    </row>
    <row r="20" customFormat="false" ht="15" hidden="false" customHeight="false" outlineLevel="0" collapsed="false">
      <c r="B20" s="30"/>
      <c r="C20" s="17"/>
      <c r="D20" s="17"/>
      <c r="E20" s="26"/>
      <c r="G20" s="11" t="str">
        <f aca="false">IF(Setup!E18="","",Setup!E18)</f>
        <v>Shopping</v>
      </c>
      <c r="H20" s="22" t="n">
        <f aca="false">IF(G20="","",Setup!G18)</f>
        <v>120</v>
      </c>
      <c r="I20" s="22" t="n">
        <f aca="false">IF(G20="","",SUMIFS($E$7:$E$86,$D$7:$D$86,G20))</f>
        <v>0</v>
      </c>
      <c r="J20" s="22" t="n">
        <f aca="false">IF(G20="","",H20-I20)</f>
        <v>120</v>
      </c>
      <c r="K20" s="33" t="n">
        <f aca="false">IF(OR(G20="",H20=0),"",I20/H20)</f>
        <v>0</v>
      </c>
    </row>
    <row r="21" customFormat="false" ht="15" hidden="false" customHeight="false" outlineLevel="0" collapsed="false">
      <c r="B21" s="30"/>
      <c r="C21" s="17"/>
      <c r="D21" s="17"/>
      <c r="E21" s="26"/>
      <c r="G21" s="11" t="str">
        <f aca="false">IF(Setup!E19="","",Setup!E19)</f>
        <v>Subscriptions</v>
      </c>
      <c r="H21" s="22" t="n">
        <f aca="false">IF(G21="","",Setup!G19)</f>
        <v>45</v>
      </c>
      <c r="I21" s="22" t="n">
        <f aca="false">IF(G21="","",SUMIFS($E$7:$E$86,$D$7:$D$86,G21))</f>
        <v>0</v>
      </c>
      <c r="J21" s="22" t="n">
        <f aca="false">IF(G21="","",H21-I21)</f>
        <v>45</v>
      </c>
      <c r="K21" s="33" t="n">
        <f aca="false">IF(OR(G21="",H21=0),"",I21/H21)</f>
        <v>0</v>
      </c>
    </row>
    <row r="22" customFormat="false" ht="15" hidden="false" customHeight="false" outlineLevel="0" collapsed="false">
      <c r="B22" s="30"/>
      <c r="C22" s="17"/>
      <c r="D22" s="17"/>
      <c r="E22" s="26"/>
      <c r="G22" s="11" t="str">
        <f aca="false">IF(Setup!E20="","",Setup!E20)</f>
        <v>Fun</v>
      </c>
      <c r="H22" s="22" t="n">
        <f aca="false">IF(G22="","",Setup!G20)</f>
        <v>100</v>
      </c>
      <c r="I22" s="22" t="n">
        <f aca="false">IF(G22="","",SUMIFS($E$7:$E$86,$D$7:$D$86,G22))</f>
        <v>0</v>
      </c>
      <c r="J22" s="22" t="n">
        <f aca="false">IF(G22="","",H22-I22)</f>
        <v>100</v>
      </c>
      <c r="K22" s="33" t="n">
        <f aca="false">IF(OR(G22="",H22=0),"",I22/H22)</f>
        <v>0</v>
      </c>
    </row>
    <row r="23" customFormat="false" ht="15" hidden="false" customHeight="false" outlineLevel="0" collapsed="false">
      <c r="B23" s="30"/>
      <c r="C23" s="17"/>
      <c r="D23" s="17"/>
      <c r="E23" s="26"/>
      <c r="G23" s="11" t="str">
        <f aca="false">IF(Setup!E21="","",Setup!E21)</f>
        <v>Gifts</v>
      </c>
      <c r="H23" s="22" t="n">
        <f aca="false">IF(G23="","",Setup!G21)</f>
        <v>40</v>
      </c>
      <c r="I23" s="22" t="n">
        <f aca="false">IF(G23="","",SUMIFS($E$7:$E$86,$D$7:$D$86,G23))</f>
        <v>0</v>
      </c>
      <c r="J23" s="22" t="n">
        <f aca="false">IF(G23="","",H23-I23)</f>
        <v>40</v>
      </c>
      <c r="K23" s="33" t="n">
        <f aca="false">IF(OR(G23="",H23=0),"",I23/H23)</f>
        <v>0</v>
      </c>
    </row>
    <row r="24" customFormat="false" ht="15" hidden="false" customHeight="false" outlineLevel="0" collapsed="false">
      <c r="B24" s="30"/>
      <c r="C24" s="17"/>
      <c r="D24" s="17"/>
      <c r="E24" s="26"/>
      <c r="G24" s="11" t="str">
        <f aca="false">IF(Setup!E22="","",Setup!E22)</f>
        <v>Personal care</v>
      </c>
      <c r="H24" s="22" t="n">
        <f aca="false">IF(G24="","",Setup!G22)</f>
        <v>50</v>
      </c>
      <c r="I24" s="22" t="n">
        <f aca="false">IF(G24="","",SUMIFS($E$7:$E$86,$D$7:$D$86,G24))</f>
        <v>0</v>
      </c>
      <c r="J24" s="22" t="n">
        <f aca="false">IF(G24="","",H24-I24)</f>
        <v>50</v>
      </c>
      <c r="K24" s="33" t="n">
        <f aca="false">IF(OR(G24="",H24=0),"",I24/H24)</f>
        <v>0</v>
      </c>
    </row>
    <row r="25" customFormat="false" ht="15" hidden="false" customHeight="false" outlineLevel="0" collapsed="false">
      <c r="B25" s="30"/>
      <c r="C25" s="17"/>
      <c r="D25" s="17"/>
      <c r="E25" s="26"/>
      <c r="G25" s="11" t="str">
        <f aca="false">IF(Setup!E23="","",Setup!E23)</f>
        <v>Emergency fund</v>
      </c>
      <c r="H25" s="22" t="n">
        <f aca="false">IF(G25="","",Setup!G23)</f>
        <v>200</v>
      </c>
      <c r="I25" s="22" t="n">
        <f aca="false">IF(G25="","",SUMIFS($E$7:$E$86,$D$7:$D$86,G25))</f>
        <v>0</v>
      </c>
      <c r="J25" s="22" t="n">
        <f aca="false">IF(G25="","",H25-I25)</f>
        <v>200</v>
      </c>
      <c r="K25" s="33" t="n">
        <f aca="false">IF(OR(G25="",H25=0),"",I25/H25)</f>
        <v>0</v>
      </c>
    </row>
    <row r="26" customFormat="false" ht="15" hidden="false" customHeight="false" outlineLevel="0" collapsed="false">
      <c r="B26" s="30"/>
      <c r="C26" s="17"/>
      <c r="D26" s="17"/>
      <c r="E26" s="26"/>
      <c r="G26" s="11" t="str">
        <f aca="false">IF(Setup!E24="","",Setup!E24)</f>
        <v>Sinking funds</v>
      </c>
      <c r="H26" s="22" t="n">
        <f aca="false">IF(G26="","",Setup!G24)</f>
        <v>100</v>
      </c>
      <c r="I26" s="22" t="n">
        <f aca="false">IF(G26="","",SUMIFS($E$7:$E$86,$D$7:$D$86,G26))</f>
        <v>0</v>
      </c>
      <c r="J26" s="22" t="n">
        <f aca="false">IF(G26="","",H26-I26)</f>
        <v>100</v>
      </c>
      <c r="K26" s="33" t="n">
        <f aca="false">IF(OR(G26="",H26=0),"",I26/H26)</f>
        <v>0</v>
      </c>
    </row>
    <row r="27" customFormat="false" ht="15" hidden="false" customHeight="false" outlineLevel="0" collapsed="false">
      <c r="B27" s="30"/>
      <c r="C27" s="17"/>
      <c r="D27" s="17"/>
      <c r="E27" s="26"/>
      <c r="G27" s="11" t="str">
        <f aca="false">IF(Setup!E25="","",Setup!E25)</f>
        <v>Retirement</v>
      </c>
      <c r="H27" s="22" t="n">
        <f aca="false">IF(G27="","",Setup!G25)</f>
        <v>150</v>
      </c>
      <c r="I27" s="22" t="n">
        <f aca="false">IF(G27="","",SUMIFS($E$7:$E$86,$D$7:$D$86,G27))</f>
        <v>0</v>
      </c>
      <c r="J27" s="22" t="n">
        <f aca="false">IF(G27="","",H27-I27)</f>
        <v>150</v>
      </c>
      <c r="K27" s="33" t="n">
        <f aca="false">IF(OR(G27="",H27=0),"",I27/H27)</f>
        <v>0</v>
      </c>
    </row>
    <row r="28" customFormat="false" ht="15" hidden="false" customHeight="false" outlineLevel="0" collapsed="false">
      <c r="B28" s="30"/>
      <c r="C28" s="17"/>
      <c r="D28" s="17"/>
      <c r="E28" s="26"/>
      <c r="G28" s="11" t="str">
        <f aca="false">IF(Setup!E26="","",Setup!E26)</f>
        <v>Credit card</v>
      </c>
      <c r="H28" s="22" t="n">
        <f aca="false">IF(G28="","",Setup!G26)</f>
        <v>150</v>
      </c>
      <c r="I28" s="22" t="n">
        <f aca="false">IF(G28="","",SUMIFS($E$7:$E$86,$D$7:$D$86,G28))</f>
        <v>0</v>
      </c>
      <c r="J28" s="22" t="n">
        <f aca="false">IF(G28="","",H28-I28)</f>
        <v>150</v>
      </c>
      <c r="K28" s="33" t="n">
        <f aca="false">IF(OR(G28="",H28=0),"",I28/H28)</f>
        <v>0</v>
      </c>
    </row>
    <row r="29" customFormat="false" ht="15" hidden="false" customHeight="false" outlineLevel="0" collapsed="false">
      <c r="B29" s="30"/>
      <c r="C29" s="17"/>
      <c r="D29" s="17"/>
      <c r="E29" s="26"/>
      <c r="G29" s="11" t="str">
        <f aca="false">IF(Setup!E27="","",Setup!E27)</f>
        <v>Student loan</v>
      </c>
      <c r="H29" s="22" t="n">
        <f aca="false">IF(G29="","",Setup!G27)</f>
        <v>180</v>
      </c>
      <c r="I29" s="22" t="n">
        <f aca="false">IF(G29="","",SUMIFS($E$7:$E$86,$D$7:$D$86,G29))</f>
        <v>0</v>
      </c>
      <c r="J29" s="22" t="n">
        <f aca="false">IF(G29="","",H29-I29)</f>
        <v>180</v>
      </c>
      <c r="K29" s="33" t="n">
        <f aca="false">IF(OR(G29="",H29=0),"",I29/H29)</f>
        <v>0</v>
      </c>
    </row>
    <row r="30" customFormat="false" ht="15" hidden="false" customHeight="false" outlineLevel="0" collapsed="false">
      <c r="B30" s="30"/>
      <c r="C30" s="17"/>
      <c r="D30" s="17"/>
      <c r="E30" s="26"/>
      <c r="G30" s="11" t="str">
        <f aca="false">IF(Setup!E28="","",Setup!E28)</f>
        <v/>
      </c>
      <c r="H30" s="22" t="str">
        <f aca="false">IF(G30="","",Setup!G28)</f>
        <v/>
      </c>
      <c r="I30" s="22" t="str">
        <f aca="false">IF(G30="","",SUMIFS($E$7:$E$86,$D$7:$D$86,G30))</f>
        <v/>
      </c>
      <c r="J30" s="22" t="str">
        <f aca="false">IF(G30="","",H30-I30)</f>
        <v/>
      </c>
      <c r="K30" s="33" t="str">
        <f aca="false">IF(OR(G30="",H30=0),"",I30/H30)</f>
        <v/>
      </c>
    </row>
    <row r="31" customFormat="false" ht="15" hidden="false" customHeight="false" outlineLevel="0" collapsed="false">
      <c r="B31" s="30"/>
      <c r="C31" s="17"/>
      <c r="D31" s="17"/>
      <c r="E31" s="26"/>
      <c r="G31" s="11" t="str">
        <f aca="false">IF(Setup!E29="","",Setup!E29)</f>
        <v/>
      </c>
      <c r="H31" s="22" t="str">
        <f aca="false">IF(G31="","",Setup!G29)</f>
        <v/>
      </c>
      <c r="I31" s="22" t="str">
        <f aca="false">IF(G31="","",SUMIFS($E$7:$E$86,$D$7:$D$86,G31))</f>
        <v/>
      </c>
      <c r="J31" s="22" t="str">
        <f aca="false">IF(G31="","",H31-I31)</f>
        <v/>
      </c>
      <c r="K31" s="33" t="str">
        <f aca="false">IF(OR(G31="",H31=0),"",I31/H31)</f>
        <v/>
      </c>
    </row>
    <row r="32" customFormat="false" ht="15" hidden="false" customHeight="false" outlineLevel="0" collapsed="false">
      <c r="B32" s="30"/>
      <c r="C32" s="17"/>
      <c r="D32" s="17"/>
      <c r="E32" s="26"/>
      <c r="G32" s="11" t="str">
        <f aca="false">IF(Setup!E30="","",Setup!E30)</f>
        <v/>
      </c>
      <c r="H32" s="22" t="str">
        <f aca="false">IF(G32="","",Setup!G30)</f>
        <v/>
      </c>
      <c r="I32" s="22" t="str">
        <f aca="false">IF(G32="","",SUMIFS($E$7:$E$86,$D$7:$D$86,G32))</f>
        <v/>
      </c>
      <c r="J32" s="22" t="str">
        <f aca="false">IF(G32="","",H32-I32)</f>
        <v/>
      </c>
      <c r="K32" s="33" t="str">
        <f aca="false">IF(OR(G32="",H32=0),"",I32/H32)</f>
        <v/>
      </c>
    </row>
    <row r="33" customFormat="false" ht="15" hidden="false" customHeight="false" outlineLevel="0" collapsed="false">
      <c r="B33" s="30"/>
      <c r="C33" s="17"/>
      <c r="D33" s="17"/>
      <c r="E33" s="26"/>
      <c r="G33" s="11" t="str">
        <f aca="false">IF(Setup!E31="","",Setup!E31)</f>
        <v/>
      </c>
      <c r="H33" s="22" t="str">
        <f aca="false">IF(G33="","",Setup!G31)</f>
        <v/>
      </c>
      <c r="I33" s="22" t="str">
        <f aca="false">IF(G33="","",SUMIFS($E$7:$E$86,$D$7:$D$86,G33))</f>
        <v/>
      </c>
      <c r="J33" s="22" t="str">
        <f aca="false">IF(G33="","",H33-I33)</f>
        <v/>
      </c>
      <c r="K33" s="33" t="str">
        <f aca="false">IF(OR(G33="",H33=0),"",I33/H33)</f>
        <v/>
      </c>
    </row>
    <row r="34" customFormat="false" ht="15" hidden="false" customHeight="false" outlineLevel="0" collapsed="false">
      <c r="B34" s="30"/>
      <c r="C34" s="17"/>
      <c r="D34" s="17"/>
      <c r="E34" s="26"/>
      <c r="G34" s="11" t="str">
        <f aca="false">IF(Setup!E32="","",Setup!E32)</f>
        <v/>
      </c>
      <c r="H34" s="22" t="str">
        <f aca="false">IF(G34="","",Setup!G32)</f>
        <v/>
      </c>
      <c r="I34" s="22" t="str">
        <f aca="false">IF(G34="","",SUMIFS($E$7:$E$86,$D$7:$D$86,G34))</f>
        <v/>
      </c>
      <c r="J34" s="22" t="str">
        <f aca="false">IF(G34="","",H34-I34)</f>
        <v/>
      </c>
      <c r="K34" s="33" t="str">
        <f aca="false">IF(OR(G34="",H34=0),"",I34/H34)</f>
        <v/>
      </c>
    </row>
    <row r="35" customFormat="false" ht="15" hidden="false" customHeight="false" outlineLevel="0" collapsed="false">
      <c r="B35" s="30"/>
      <c r="C35" s="17"/>
      <c r="D35" s="17"/>
      <c r="E35" s="26"/>
      <c r="G35" s="11" t="str">
        <f aca="false">IF(Setup!E33="","",Setup!E33)</f>
        <v/>
      </c>
      <c r="H35" s="22" t="str">
        <f aca="false">IF(G35="","",Setup!G33)</f>
        <v/>
      </c>
      <c r="I35" s="22" t="str">
        <f aca="false">IF(G35="","",SUMIFS($E$7:$E$86,$D$7:$D$86,G35))</f>
        <v/>
      </c>
      <c r="J35" s="22" t="str">
        <f aca="false">IF(G35="","",H35-I35)</f>
        <v/>
      </c>
      <c r="K35" s="33" t="str">
        <f aca="false">IF(OR(G35="",H35=0),"",I35/H35)</f>
        <v/>
      </c>
    </row>
    <row r="36" customFormat="false" ht="15" hidden="false" customHeight="false" outlineLevel="0" collapsed="false">
      <c r="B36" s="30"/>
      <c r="C36" s="17"/>
      <c r="D36" s="17"/>
      <c r="E36" s="26"/>
      <c r="G36" s="11" t="str">
        <f aca="false">IF(Setup!E34="","",Setup!E34)</f>
        <v/>
      </c>
      <c r="H36" s="22" t="str">
        <f aca="false">IF(G36="","",Setup!G34)</f>
        <v/>
      </c>
      <c r="I36" s="22" t="str">
        <f aca="false">IF(G36="","",SUMIFS($E$7:$E$86,$D$7:$D$86,G36))</f>
        <v/>
      </c>
      <c r="J36" s="22" t="str">
        <f aca="false">IF(G36="","",H36-I36)</f>
        <v/>
      </c>
      <c r="K36" s="33" t="str">
        <f aca="false">IF(OR(G36="",H36=0),"",I36/H36)</f>
        <v/>
      </c>
    </row>
    <row r="37" customFormat="false" ht="15" hidden="false" customHeight="false" outlineLevel="0" collapsed="false">
      <c r="B37" s="30"/>
      <c r="C37" s="17"/>
      <c r="D37" s="17"/>
      <c r="E37" s="26"/>
      <c r="G37" s="11" t="str">
        <f aca="false">IF(Setup!E35="","",Setup!E35)</f>
        <v/>
      </c>
      <c r="H37" s="22" t="str">
        <f aca="false">IF(G37="","",Setup!G35)</f>
        <v/>
      </c>
      <c r="I37" s="22" t="str">
        <f aca="false">IF(G37="","",SUMIFS($E$7:$E$86,$D$7:$D$86,G37))</f>
        <v/>
      </c>
      <c r="J37" s="22" t="str">
        <f aca="false">IF(G37="","",H37-I37)</f>
        <v/>
      </c>
      <c r="K37" s="33" t="str">
        <f aca="false">IF(OR(G37="",H37=0),"",I37/H37)</f>
        <v/>
      </c>
    </row>
    <row r="38" customFormat="false" ht="15" hidden="false" customHeight="false" outlineLevel="0" collapsed="false">
      <c r="B38" s="30"/>
      <c r="C38" s="17"/>
      <c r="D38" s="17"/>
      <c r="E38" s="26"/>
      <c r="G38" s="11" t="str">
        <f aca="false">IF(Setup!E36="","",Setup!E36)</f>
        <v/>
      </c>
      <c r="H38" s="22" t="str">
        <f aca="false">IF(G38="","",Setup!G36)</f>
        <v/>
      </c>
      <c r="I38" s="22" t="str">
        <f aca="false">IF(G38="","",SUMIFS($E$7:$E$86,$D$7:$D$86,G38))</f>
        <v/>
      </c>
      <c r="J38" s="22" t="str">
        <f aca="false">IF(G38="","",H38-I38)</f>
        <v/>
      </c>
      <c r="K38" s="33" t="str">
        <f aca="false">IF(OR(G38="",H38=0),"",I38/H38)</f>
        <v/>
      </c>
    </row>
    <row r="39" customFormat="false" ht="15" hidden="false" customHeight="false" outlineLevel="0" collapsed="false">
      <c r="B39" s="30"/>
      <c r="C39" s="17"/>
      <c r="D39" s="17"/>
      <c r="E39" s="26"/>
      <c r="G39" s="11" t="str">
        <f aca="false">IF(Setup!E37="","",Setup!E37)</f>
        <v/>
      </c>
      <c r="H39" s="22" t="str">
        <f aca="false">IF(G39="","",Setup!G37)</f>
        <v/>
      </c>
      <c r="I39" s="22" t="str">
        <f aca="false">IF(G39="","",SUMIFS($E$7:$E$86,$D$7:$D$86,G39))</f>
        <v/>
      </c>
      <c r="J39" s="22" t="str">
        <f aca="false">IF(G39="","",H39-I39)</f>
        <v/>
      </c>
      <c r="K39" s="33" t="str">
        <f aca="false">IF(OR(G39="",H39=0),"",I39/H39)</f>
        <v/>
      </c>
    </row>
    <row r="40" customFormat="false" ht="15" hidden="false" customHeight="false" outlineLevel="0" collapsed="false">
      <c r="B40" s="30"/>
      <c r="C40" s="17"/>
      <c r="D40" s="17"/>
      <c r="E40" s="26"/>
      <c r="G40" s="11" t="str">
        <f aca="false">IF(Setup!E38="","",Setup!E38)</f>
        <v/>
      </c>
      <c r="H40" s="22" t="str">
        <f aca="false">IF(G40="","",Setup!G38)</f>
        <v/>
      </c>
      <c r="I40" s="22" t="str">
        <f aca="false">IF(G40="","",SUMIFS($E$7:$E$86,$D$7:$D$86,G40))</f>
        <v/>
      </c>
      <c r="J40" s="22" t="str">
        <f aca="false">IF(G40="","",H40-I40)</f>
        <v/>
      </c>
      <c r="K40" s="33" t="str">
        <f aca="false">IF(OR(G40="",H40=0),"",I40/H40)</f>
        <v/>
      </c>
    </row>
    <row r="41" customFormat="false" ht="15" hidden="false" customHeight="false" outlineLevel="0" collapsed="false">
      <c r="B41" s="30"/>
      <c r="C41" s="17"/>
      <c r="D41" s="17"/>
      <c r="E41" s="26"/>
      <c r="G41" s="11" t="str">
        <f aca="false">IF(Setup!E39="","",Setup!E39)</f>
        <v/>
      </c>
      <c r="H41" s="22" t="str">
        <f aca="false">IF(G41="","",Setup!G39)</f>
        <v/>
      </c>
      <c r="I41" s="22" t="str">
        <f aca="false">IF(G41="","",SUMIFS($E$7:$E$86,$D$7:$D$86,G41))</f>
        <v/>
      </c>
      <c r="J41" s="22" t="str">
        <f aca="false">IF(G41="","",H41-I41)</f>
        <v/>
      </c>
      <c r="K41" s="33" t="str">
        <f aca="false">IF(OR(G41="",H41=0),"",I41/H41)</f>
        <v/>
      </c>
    </row>
    <row r="42" customFormat="false" ht="15" hidden="false" customHeight="false" outlineLevel="0" collapsed="false">
      <c r="B42" s="30"/>
      <c r="C42" s="17"/>
      <c r="D42" s="17"/>
      <c r="E42" s="26"/>
    </row>
    <row r="43" customFormat="false" ht="15" hidden="false" customHeight="false" outlineLevel="0" collapsed="false">
      <c r="B43" s="30"/>
      <c r="C43" s="17"/>
      <c r="D43" s="17"/>
      <c r="E43" s="26"/>
    </row>
    <row r="44" customFormat="false" ht="15" hidden="false" customHeight="false" outlineLevel="0" collapsed="false">
      <c r="B44" s="30"/>
      <c r="C44" s="17"/>
      <c r="D44" s="17"/>
      <c r="E44" s="26"/>
    </row>
    <row r="45" customFormat="false" ht="15" hidden="false" customHeight="false" outlineLevel="0" collapsed="false">
      <c r="B45" s="30"/>
      <c r="C45" s="17"/>
      <c r="D45" s="17"/>
      <c r="E45" s="26"/>
    </row>
    <row r="46" customFormat="false" ht="15" hidden="false" customHeight="false" outlineLevel="0" collapsed="false">
      <c r="B46" s="30"/>
      <c r="C46" s="17"/>
      <c r="D46" s="17"/>
      <c r="E46" s="26"/>
    </row>
    <row r="47" customFormat="false" ht="15" hidden="false" customHeight="false" outlineLevel="0" collapsed="false">
      <c r="B47" s="30"/>
      <c r="C47" s="17"/>
      <c r="D47" s="17"/>
      <c r="E47" s="26"/>
    </row>
    <row r="48" customFormat="false" ht="15" hidden="false" customHeight="false" outlineLevel="0" collapsed="false">
      <c r="B48" s="30"/>
      <c r="C48" s="17"/>
      <c r="D48" s="17"/>
      <c r="E48" s="26"/>
    </row>
    <row r="49" customFormat="false" ht="15" hidden="false" customHeight="false" outlineLevel="0" collapsed="false">
      <c r="B49" s="30"/>
      <c r="C49" s="17"/>
      <c r="D49" s="17"/>
      <c r="E49" s="26"/>
    </row>
    <row r="50" customFormat="false" ht="15" hidden="false" customHeight="false" outlineLevel="0" collapsed="false">
      <c r="B50" s="30"/>
      <c r="C50" s="17"/>
      <c r="D50" s="17"/>
      <c r="E50" s="26"/>
    </row>
    <row r="51" customFormat="false" ht="15" hidden="false" customHeight="false" outlineLevel="0" collapsed="false">
      <c r="B51" s="30"/>
      <c r="C51" s="17"/>
      <c r="D51" s="17"/>
      <c r="E51" s="26"/>
    </row>
    <row r="52" customFormat="false" ht="15" hidden="false" customHeight="false" outlineLevel="0" collapsed="false">
      <c r="B52" s="30"/>
      <c r="C52" s="17"/>
      <c r="D52" s="17"/>
      <c r="E52" s="26"/>
    </row>
    <row r="53" customFormat="false" ht="15" hidden="false" customHeight="false" outlineLevel="0" collapsed="false">
      <c r="B53" s="30"/>
      <c r="C53" s="17"/>
      <c r="D53" s="17"/>
      <c r="E53" s="26"/>
    </row>
    <row r="54" customFormat="false" ht="15" hidden="false" customHeight="false" outlineLevel="0" collapsed="false">
      <c r="B54" s="30"/>
      <c r="C54" s="17"/>
      <c r="D54" s="17"/>
      <c r="E54" s="26"/>
    </row>
    <row r="55" customFormat="false" ht="15" hidden="false" customHeight="false" outlineLevel="0" collapsed="false">
      <c r="B55" s="30"/>
      <c r="C55" s="17"/>
      <c r="D55" s="17"/>
      <c r="E55" s="26"/>
    </row>
    <row r="56" customFormat="false" ht="15" hidden="false" customHeight="false" outlineLevel="0" collapsed="false">
      <c r="B56" s="30"/>
      <c r="C56" s="17"/>
      <c r="D56" s="17"/>
      <c r="E56" s="26"/>
    </row>
    <row r="57" customFormat="false" ht="15" hidden="false" customHeight="false" outlineLevel="0" collapsed="false">
      <c r="B57" s="30"/>
      <c r="C57" s="17"/>
      <c r="D57" s="17"/>
      <c r="E57" s="26"/>
    </row>
    <row r="58" customFormat="false" ht="15" hidden="false" customHeight="false" outlineLevel="0" collapsed="false">
      <c r="B58" s="30"/>
      <c r="C58" s="17"/>
      <c r="D58" s="17"/>
      <c r="E58" s="26"/>
    </row>
    <row r="59" customFormat="false" ht="15" hidden="false" customHeight="false" outlineLevel="0" collapsed="false">
      <c r="B59" s="30"/>
      <c r="C59" s="17"/>
      <c r="D59" s="17"/>
      <c r="E59" s="26"/>
    </row>
    <row r="60" customFormat="false" ht="15" hidden="false" customHeight="false" outlineLevel="0" collapsed="false">
      <c r="B60" s="30"/>
      <c r="C60" s="17"/>
      <c r="D60" s="17"/>
      <c r="E60" s="26"/>
    </row>
    <row r="61" customFormat="false" ht="15" hidden="false" customHeight="false" outlineLevel="0" collapsed="false">
      <c r="B61" s="30"/>
      <c r="C61" s="17"/>
      <c r="D61" s="17"/>
      <c r="E61" s="26"/>
    </row>
    <row r="62" customFormat="false" ht="15" hidden="false" customHeight="false" outlineLevel="0" collapsed="false">
      <c r="B62" s="30"/>
      <c r="C62" s="17"/>
      <c r="D62" s="17"/>
      <c r="E62" s="26"/>
    </row>
    <row r="63" customFormat="false" ht="15" hidden="false" customHeight="false" outlineLevel="0" collapsed="false">
      <c r="B63" s="30"/>
      <c r="C63" s="17"/>
      <c r="D63" s="17"/>
      <c r="E63" s="26"/>
    </row>
    <row r="64" customFormat="false" ht="15" hidden="false" customHeight="false" outlineLevel="0" collapsed="false">
      <c r="B64" s="30"/>
      <c r="C64" s="17"/>
      <c r="D64" s="17"/>
      <c r="E64" s="26"/>
    </row>
    <row r="65" customFormat="false" ht="15" hidden="false" customHeight="false" outlineLevel="0" collapsed="false">
      <c r="B65" s="30"/>
      <c r="C65" s="17"/>
      <c r="D65" s="17"/>
      <c r="E65" s="26"/>
    </row>
    <row r="66" customFormat="false" ht="15" hidden="false" customHeight="false" outlineLevel="0" collapsed="false">
      <c r="B66" s="30"/>
      <c r="C66" s="17"/>
      <c r="D66" s="17"/>
      <c r="E66" s="26"/>
    </row>
    <row r="67" customFormat="false" ht="15" hidden="false" customHeight="false" outlineLevel="0" collapsed="false">
      <c r="B67" s="30"/>
      <c r="C67" s="17"/>
      <c r="D67" s="17"/>
      <c r="E67" s="26"/>
    </row>
    <row r="68" customFormat="false" ht="15" hidden="false" customHeight="false" outlineLevel="0" collapsed="false">
      <c r="B68" s="30"/>
      <c r="C68" s="17"/>
      <c r="D68" s="17"/>
      <c r="E68" s="26"/>
    </row>
    <row r="69" customFormat="false" ht="15" hidden="false" customHeight="false" outlineLevel="0" collapsed="false">
      <c r="B69" s="30"/>
      <c r="C69" s="17"/>
      <c r="D69" s="17"/>
      <c r="E69" s="26"/>
    </row>
    <row r="70" customFormat="false" ht="15" hidden="false" customHeight="false" outlineLevel="0" collapsed="false">
      <c r="B70" s="30"/>
      <c r="C70" s="17"/>
      <c r="D70" s="17"/>
      <c r="E70" s="26"/>
    </row>
    <row r="71" customFormat="false" ht="15" hidden="false" customHeight="false" outlineLevel="0" collapsed="false">
      <c r="B71" s="30"/>
      <c r="C71" s="17"/>
      <c r="D71" s="17"/>
      <c r="E71" s="26"/>
    </row>
    <row r="72" customFormat="false" ht="15" hidden="false" customHeight="false" outlineLevel="0" collapsed="false">
      <c r="B72" s="30"/>
      <c r="C72" s="17"/>
      <c r="D72" s="17"/>
      <c r="E72" s="26"/>
    </row>
    <row r="73" customFormat="false" ht="15" hidden="false" customHeight="false" outlineLevel="0" collapsed="false">
      <c r="B73" s="30"/>
      <c r="C73" s="17"/>
      <c r="D73" s="17"/>
      <c r="E73" s="26"/>
    </row>
    <row r="74" customFormat="false" ht="15" hidden="false" customHeight="false" outlineLevel="0" collapsed="false">
      <c r="B74" s="30"/>
      <c r="C74" s="17"/>
      <c r="D74" s="17"/>
      <c r="E74" s="26"/>
    </row>
    <row r="75" customFormat="false" ht="15" hidden="false" customHeight="false" outlineLevel="0" collapsed="false">
      <c r="B75" s="30"/>
      <c r="C75" s="17"/>
      <c r="D75" s="17"/>
      <c r="E75" s="26"/>
    </row>
    <row r="76" customFormat="false" ht="15" hidden="false" customHeight="false" outlineLevel="0" collapsed="false">
      <c r="B76" s="30"/>
      <c r="C76" s="17"/>
      <c r="D76" s="17"/>
      <c r="E76" s="26"/>
    </row>
    <row r="77" customFormat="false" ht="15" hidden="false" customHeight="false" outlineLevel="0" collapsed="false">
      <c r="B77" s="30"/>
      <c r="C77" s="17"/>
      <c r="D77" s="17"/>
      <c r="E77" s="26"/>
    </row>
    <row r="78" customFormat="false" ht="15" hidden="false" customHeight="false" outlineLevel="0" collapsed="false">
      <c r="B78" s="30"/>
      <c r="C78" s="17"/>
      <c r="D78" s="17"/>
      <c r="E78" s="26"/>
    </row>
    <row r="79" customFormat="false" ht="15" hidden="false" customHeight="false" outlineLevel="0" collapsed="false">
      <c r="B79" s="30"/>
      <c r="C79" s="17"/>
      <c r="D79" s="17"/>
      <c r="E79" s="26"/>
    </row>
    <row r="80" customFormat="false" ht="15" hidden="false" customHeight="false" outlineLevel="0" collapsed="false">
      <c r="B80" s="30"/>
      <c r="C80" s="17"/>
      <c r="D80" s="17"/>
      <c r="E80" s="26"/>
    </row>
    <row r="81" customFormat="false" ht="15" hidden="false" customHeight="false" outlineLevel="0" collapsed="false">
      <c r="B81" s="30"/>
      <c r="C81" s="17"/>
      <c r="D81" s="17"/>
      <c r="E81" s="26"/>
    </row>
    <row r="82" customFormat="false" ht="15" hidden="false" customHeight="false" outlineLevel="0" collapsed="false">
      <c r="B82" s="30"/>
      <c r="C82" s="17"/>
      <c r="D82" s="17"/>
      <c r="E82" s="26"/>
    </row>
    <row r="83" customFormat="false" ht="15" hidden="false" customHeight="false" outlineLevel="0" collapsed="false">
      <c r="B83" s="30"/>
      <c r="C83" s="17"/>
      <c r="D83" s="17"/>
      <c r="E83" s="26"/>
    </row>
    <row r="84" customFormat="false" ht="15" hidden="false" customHeight="false" outlineLevel="0" collapsed="false">
      <c r="B84" s="30"/>
      <c r="C84" s="17"/>
      <c r="D84" s="17"/>
      <c r="E84" s="26"/>
    </row>
    <row r="85" customFormat="false" ht="15" hidden="false" customHeight="false" outlineLevel="0" collapsed="false">
      <c r="B85" s="30"/>
      <c r="C85" s="17"/>
      <c r="D85" s="17"/>
      <c r="E85" s="26"/>
    </row>
    <row r="86" customFormat="false" ht="15" hidden="false" customHeight="false" outlineLevel="0" collapsed="false">
      <c r="B86" s="30"/>
      <c r="C86" s="17"/>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K12:K41">
    <cfRule type="dataBar" priority="4">
      <dataBar showValue="1" minLength="10" maxLength="90">
        <cfvo type="num" val="0"/>
        <cfvo type="num" val="1"/>
        <color rgb="FF2F6F5E"/>
      </dataBar>
      <extLst>
        <ext xmlns:x14="http://schemas.microsoft.com/office/spreadsheetml/2009/9/main" uri="{B025F937-C7B1-47D3-B67F-A62EFF666E3E}">
          <x14:id>{25F41094-89EE-4AEE-AE4B-93C95B4B2014}</x14:id>
        </ext>
      </extLst>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r:id="rId1" location="'Start%20here'!A1" display="Start here"/>
    <hyperlink ref="C4" r:id="rId2" location="'Dashboard'!A1" display="Dashboard"/>
    <hyperlink ref="D4" r:id="rId3" location="'Setup'!A1" display="Setup"/>
    <hyperlink ref="E4" r:id="rId4" location="'January'!A1" display="Months"/>
    <hyperlink ref="F4" r:id="rId5" location="'Bills'!A1" display="Bills"/>
    <hyperlink ref="G4" r:id="rId6" location="'Paycheck%20plan'!A1" display="Paycheck"/>
    <hyperlink ref="H4" r:id="rId7" location="'Debt%20payoff'!A1" display="Debt"/>
    <hyperlink ref="I4" r:id="rId8" location="'Savings%20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25F41094-89EE-4AEE-AE4B-93C95B4B2014}">
            <x14:dataBar minLength="10" maxLength="90" axisPosition="none" gradient="true">
              <x14:cfvo type="num">
                <xm:f>0</xm:f>
              </x14:cfvo>
              <x14:cfvo type="num">
                <xm:f>1</xm:f>
              </x14:cfvo>
              <x14:negativeFillColor rgb="FF2F6F5E"/>
              <x14:axisColor rgb="FF000000"/>
            </x14:dataBar>
          </x14:cfRule>
          <xm:sqref>K12:K41</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K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10"/>
    <col collapsed="false" customWidth="true" hidden="false" outlineLevel="0" max="29" min="12" style="0" width="14"/>
  </cols>
  <sheetData>
    <row r="2" customFormat="false" ht="33.75" hidden="false" customHeight="true" outlineLevel="0" collapsed="false">
      <c r="B2" s="1" t="s">
        <v>28</v>
      </c>
    </row>
    <row r="3" customFormat="false" ht="15" hidden="false" customHeight="false" outlineLevel="0" collapsed="false">
      <c r="B3" s="2" t="s">
        <v>99</v>
      </c>
    </row>
    <row r="4" customFormat="false" ht="15" hidden="false" customHeight="false" outlineLevel="0" collapsed="false">
      <c r="B4" s="3" t="s">
        <v>2</v>
      </c>
      <c r="C4" s="3" t="s">
        <v>3</v>
      </c>
      <c r="D4" s="3" t="s">
        <v>4</v>
      </c>
      <c r="E4" s="3" t="s">
        <v>5</v>
      </c>
      <c r="F4" s="3" t="s">
        <v>6</v>
      </c>
      <c r="G4" s="3" t="s">
        <v>7</v>
      </c>
      <c r="H4" s="3" t="s">
        <v>8</v>
      </c>
      <c r="I4" s="3" t="s">
        <v>9</v>
      </c>
    </row>
    <row r="6" customFormat="false" ht="21.75" hidden="false" customHeight="true" outlineLevel="0" collapsed="false">
      <c r="B6" s="10" t="s">
        <v>100</v>
      </c>
      <c r="C6" s="10" t="s">
        <v>101</v>
      </c>
      <c r="D6" s="10" t="s">
        <v>64</v>
      </c>
      <c r="E6" s="10" t="s">
        <v>102</v>
      </c>
      <c r="G6" s="27" t="s">
        <v>103</v>
      </c>
      <c r="H6" s="28" t="n">
        <f aca="false">Setup!$C$18</f>
        <v>3900</v>
      </c>
      <c r="I6" s="29" t="s">
        <v>104</v>
      </c>
    </row>
    <row r="7" customFormat="false" ht="15" hidden="false" customHeight="false" outlineLevel="0" collapsed="false">
      <c r="B7" s="30"/>
      <c r="C7" s="17"/>
      <c r="D7" s="17"/>
      <c r="E7" s="26"/>
      <c r="G7" s="31" t="s">
        <v>61</v>
      </c>
      <c r="H7" s="32" t="n">
        <f aca="false">SUM(E7:E86)</f>
        <v>0</v>
      </c>
    </row>
    <row r="8" customFormat="false" ht="15" hidden="false" customHeight="false" outlineLevel="0" collapsed="false">
      <c r="B8" s="30"/>
      <c r="C8" s="17"/>
      <c r="D8" s="17"/>
      <c r="E8" s="26"/>
      <c r="G8" s="31" t="s">
        <v>62</v>
      </c>
      <c r="H8" s="32" t="n">
        <f aca="false">H6-H7</f>
        <v>3900</v>
      </c>
    </row>
    <row r="9" customFormat="false" ht="15" hidden="false" customHeight="false" outlineLevel="0" collapsed="false">
      <c r="B9" s="30"/>
      <c r="C9" s="17"/>
      <c r="D9" s="17"/>
      <c r="E9" s="26"/>
      <c r="G9" s="31" t="s">
        <v>108</v>
      </c>
      <c r="H9" s="32" t="n">
        <f aca="false">SUMPRODUCT(SUMIFS($E$7:$E$86,$D$7:$D$86,Setup!$E$10:$E$39)*((Setup!$F$10:$F$39="Savings")+(Setup!$F$10:$F$39="Debt")))</f>
        <v>0</v>
      </c>
    </row>
    <row r="10" customFormat="false" ht="15" hidden="false" customHeight="false" outlineLevel="0" collapsed="false">
      <c r="B10" s="30"/>
      <c r="C10" s="17"/>
      <c r="D10" s="17"/>
      <c r="E10" s="26"/>
    </row>
    <row r="11" customFormat="false" ht="21.75" hidden="false" customHeight="true" outlineLevel="0" collapsed="false">
      <c r="B11" s="30"/>
      <c r="C11" s="17"/>
      <c r="D11" s="17"/>
      <c r="E11" s="26"/>
      <c r="G11" s="10" t="s">
        <v>64</v>
      </c>
      <c r="H11" s="10" t="s">
        <v>110</v>
      </c>
      <c r="I11" s="10" t="s">
        <v>61</v>
      </c>
      <c r="J11" s="10" t="s">
        <v>111</v>
      </c>
      <c r="K11" s="10" t="s">
        <v>112</v>
      </c>
    </row>
    <row r="12" customFormat="false" ht="15" hidden="false" customHeight="false" outlineLevel="0" collapsed="false">
      <c r="B12" s="30"/>
      <c r="C12" s="17"/>
      <c r="D12" s="17"/>
      <c r="E12" s="26"/>
      <c r="G12" s="11" t="str">
        <f aca="false">IF(Setup!E10="","",Setup!E10)</f>
        <v>Rent or mortgage</v>
      </c>
      <c r="H12" s="22" t="n">
        <f aca="false">IF(G12="","",Setup!G10)</f>
        <v>1400</v>
      </c>
      <c r="I12" s="22" t="n">
        <f aca="false">IF(G12="","",SUMIFS($E$7:$E$86,$D$7:$D$86,G12))</f>
        <v>0</v>
      </c>
      <c r="J12" s="22" t="n">
        <f aca="false">IF(G12="","",H12-I12)</f>
        <v>1400</v>
      </c>
      <c r="K12" s="33" t="n">
        <f aca="false">IF(OR(G12="",H12=0),"",I12/H12)</f>
        <v>0</v>
      </c>
    </row>
    <row r="13" customFormat="false" ht="15" hidden="false" customHeight="false" outlineLevel="0" collapsed="false">
      <c r="B13" s="30"/>
      <c r="C13" s="17"/>
      <c r="D13" s="17"/>
      <c r="E13" s="26"/>
      <c r="G13" s="11" t="str">
        <f aca="false">IF(Setup!E11="","",Setup!E11)</f>
        <v>Utilities</v>
      </c>
      <c r="H13" s="22" t="n">
        <f aca="false">IF(G13="","",Setup!G11)</f>
        <v>180</v>
      </c>
      <c r="I13" s="22" t="n">
        <f aca="false">IF(G13="","",SUMIFS($E$7:$E$86,$D$7:$D$86,G13))</f>
        <v>0</v>
      </c>
      <c r="J13" s="22" t="n">
        <f aca="false">IF(G13="","",H13-I13)</f>
        <v>180</v>
      </c>
      <c r="K13" s="33" t="n">
        <f aca="false">IF(OR(G13="",H13=0),"",I13/H13)</f>
        <v>0</v>
      </c>
    </row>
    <row r="14" customFormat="false" ht="15" hidden="false" customHeight="false" outlineLevel="0" collapsed="false">
      <c r="B14" s="30"/>
      <c r="C14" s="17"/>
      <c r="D14" s="17"/>
      <c r="E14" s="26"/>
      <c r="G14" s="11" t="str">
        <f aca="false">IF(Setup!E12="","",Setup!E12)</f>
        <v>Groceries</v>
      </c>
      <c r="H14" s="22" t="n">
        <f aca="false">IF(G14="","",Setup!G12)</f>
        <v>500</v>
      </c>
      <c r="I14" s="22" t="n">
        <f aca="false">IF(G14="","",SUMIFS($E$7:$E$86,$D$7:$D$86,G14))</f>
        <v>0</v>
      </c>
      <c r="J14" s="22" t="n">
        <f aca="false">IF(G14="","",H14-I14)</f>
        <v>500</v>
      </c>
      <c r="K14" s="33" t="n">
        <f aca="false">IF(OR(G14="",H14=0),"",I14/H14)</f>
        <v>0</v>
      </c>
    </row>
    <row r="15" customFormat="false" ht="15" hidden="false" customHeight="false" outlineLevel="0" collapsed="false">
      <c r="B15" s="30"/>
      <c r="C15" s="17"/>
      <c r="D15" s="17"/>
      <c r="E15" s="26"/>
      <c r="G15" s="11" t="str">
        <f aca="false">IF(Setup!E13="","",Setup!E13)</f>
        <v>Transport</v>
      </c>
      <c r="H15" s="22" t="n">
        <f aca="false">IF(G15="","",Setup!G13)</f>
        <v>220</v>
      </c>
      <c r="I15" s="22" t="n">
        <f aca="false">IF(G15="","",SUMIFS($E$7:$E$86,$D$7:$D$86,G15))</f>
        <v>0</v>
      </c>
      <c r="J15" s="22" t="n">
        <f aca="false">IF(G15="","",H15-I15)</f>
        <v>220</v>
      </c>
      <c r="K15" s="33" t="n">
        <f aca="false">IF(OR(G15="",H15=0),"",I15/H15)</f>
        <v>0</v>
      </c>
    </row>
    <row r="16" customFormat="false" ht="15" hidden="false" customHeight="false" outlineLevel="0" collapsed="false">
      <c r="B16" s="30"/>
      <c r="C16" s="17"/>
      <c r="D16" s="17"/>
      <c r="E16" s="26"/>
      <c r="G16" s="11" t="str">
        <f aca="false">IF(Setup!E14="","",Setup!E14)</f>
        <v>Insurance</v>
      </c>
      <c r="H16" s="22" t="n">
        <f aca="false">IF(G16="","",Setup!G14)</f>
        <v>160</v>
      </c>
      <c r="I16" s="22" t="n">
        <f aca="false">IF(G16="","",SUMIFS($E$7:$E$86,$D$7:$D$86,G16))</f>
        <v>0</v>
      </c>
      <c r="J16" s="22" t="n">
        <f aca="false">IF(G16="","",H16-I16)</f>
        <v>160</v>
      </c>
      <c r="K16" s="33" t="n">
        <f aca="false">IF(OR(G16="",H16=0),"",I16/H16)</f>
        <v>0</v>
      </c>
    </row>
    <row r="17" customFormat="false" ht="15" hidden="false" customHeight="false" outlineLevel="0" collapsed="false">
      <c r="B17" s="30"/>
      <c r="C17" s="17"/>
      <c r="D17" s="17"/>
      <c r="E17" s="26"/>
      <c r="G17" s="11" t="str">
        <f aca="false">IF(Setup!E15="","",Setup!E15)</f>
        <v>Phone and internet</v>
      </c>
      <c r="H17" s="22" t="n">
        <f aca="false">IF(G17="","",Setup!G15)</f>
        <v>95</v>
      </c>
      <c r="I17" s="22" t="n">
        <f aca="false">IF(G17="","",SUMIFS($E$7:$E$86,$D$7:$D$86,G17))</f>
        <v>0</v>
      </c>
      <c r="J17" s="22" t="n">
        <f aca="false">IF(G17="","",H17-I17)</f>
        <v>95</v>
      </c>
      <c r="K17" s="33" t="n">
        <f aca="false">IF(OR(G17="",H17=0),"",I17/H17)</f>
        <v>0</v>
      </c>
    </row>
    <row r="18" customFormat="false" ht="15" hidden="false" customHeight="false" outlineLevel="0" collapsed="false">
      <c r="B18" s="30"/>
      <c r="C18" s="17"/>
      <c r="D18" s="17"/>
      <c r="E18" s="26"/>
      <c r="G18" s="11" t="str">
        <f aca="false">IF(Setup!E16="","",Setup!E16)</f>
        <v>Medical</v>
      </c>
      <c r="H18" s="22" t="n">
        <f aca="false">IF(G18="","",Setup!G16)</f>
        <v>60</v>
      </c>
      <c r="I18" s="22" t="n">
        <f aca="false">IF(G18="","",SUMIFS($E$7:$E$86,$D$7:$D$86,G18))</f>
        <v>0</v>
      </c>
      <c r="J18" s="22" t="n">
        <f aca="false">IF(G18="","",H18-I18)</f>
        <v>60</v>
      </c>
      <c r="K18" s="33" t="n">
        <f aca="false">IF(OR(G18="",H18=0),"",I18/H18)</f>
        <v>0</v>
      </c>
    </row>
    <row r="19" customFormat="false" ht="15" hidden="false" customHeight="false" outlineLevel="0" collapsed="false">
      <c r="B19" s="30"/>
      <c r="C19" s="17"/>
      <c r="D19" s="17"/>
      <c r="E19" s="26"/>
      <c r="G19" s="11" t="str">
        <f aca="false">IF(Setup!E17="","",Setup!E17)</f>
        <v>Eating out</v>
      </c>
      <c r="H19" s="22" t="n">
        <f aca="false">IF(G19="","",Setup!G17)</f>
        <v>150</v>
      </c>
      <c r="I19" s="22" t="n">
        <f aca="false">IF(G19="","",SUMIFS($E$7:$E$86,$D$7:$D$86,G19))</f>
        <v>0</v>
      </c>
      <c r="J19" s="22" t="n">
        <f aca="false">IF(G19="","",H19-I19)</f>
        <v>150</v>
      </c>
      <c r="K19" s="33" t="n">
        <f aca="false">IF(OR(G19="",H19=0),"",I19/H19)</f>
        <v>0</v>
      </c>
    </row>
    <row r="20" customFormat="false" ht="15" hidden="false" customHeight="false" outlineLevel="0" collapsed="false">
      <c r="B20" s="30"/>
      <c r="C20" s="17"/>
      <c r="D20" s="17"/>
      <c r="E20" s="26"/>
      <c r="G20" s="11" t="str">
        <f aca="false">IF(Setup!E18="","",Setup!E18)</f>
        <v>Shopping</v>
      </c>
      <c r="H20" s="22" t="n">
        <f aca="false">IF(G20="","",Setup!G18)</f>
        <v>120</v>
      </c>
      <c r="I20" s="22" t="n">
        <f aca="false">IF(G20="","",SUMIFS($E$7:$E$86,$D$7:$D$86,G20))</f>
        <v>0</v>
      </c>
      <c r="J20" s="22" t="n">
        <f aca="false">IF(G20="","",H20-I20)</f>
        <v>120</v>
      </c>
      <c r="K20" s="33" t="n">
        <f aca="false">IF(OR(G20="",H20=0),"",I20/H20)</f>
        <v>0</v>
      </c>
    </row>
    <row r="21" customFormat="false" ht="15" hidden="false" customHeight="false" outlineLevel="0" collapsed="false">
      <c r="B21" s="30"/>
      <c r="C21" s="17"/>
      <c r="D21" s="17"/>
      <c r="E21" s="26"/>
      <c r="G21" s="11" t="str">
        <f aca="false">IF(Setup!E19="","",Setup!E19)</f>
        <v>Subscriptions</v>
      </c>
      <c r="H21" s="22" t="n">
        <f aca="false">IF(G21="","",Setup!G19)</f>
        <v>45</v>
      </c>
      <c r="I21" s="22" t="n">
        <f aca="false">IF(G21="","",SUMIFS($E$7:$E$86,$D$7:$D$86,G21))</f>
        <v>0</v>
      </c>
      <c r="J21" s="22" t="n">
        <f aca="false">IF(G21="","",H21-I21)</f>
        <v>45</v>
      </c>
      <c r="K21" s="33" t="n">
        <f aca="false">IF(OR(G21="",H21=0),"",I21/H21)</f>
        <v>0</v>
      </c>
    </row>
    <row r="22" customFormat="false" ht="15" hidden="false" customHeight="false" outlineLevel="0" collapsed="false">
      <c r="B22" s="30"/>
      <c r="C22" s="17"/>
      <c r="D22" s="17"/>
      <c r="E22" s="26"/>
      <c r="G22" s="11" t="str">
        <f aca="false">IF(Setup!E20="","",Setup!E20)</f>
        <v>Fun</v>
      </c>
      <c r="H22" s="22" t="n">
        <f aca="false">IF(G22="","",Setup!G20)</f>
        <v>100</v>
      </c>
      <c r="I22" s="22" t="n">
        <f aca="false">IF(G22="","",SUMIFS($E$7:$E$86,$D$7:$D$86,G22))</f>
        <v>0</v>
      </c>
      <c r="J22" s="22" t="n">
        <f aca="false">IF(G22="","",H22-I22)</f>
        <v>100</v>
      </c>
      <c r="K22" s="33" t="n">
        <f aca="false">IF(OR(G22="",H22=0),"",I22/H22)</f>
        <v>0</v>
      </c>
    </row>
    <row r="23" customFormat="false" ht="15" hidden="false" customHeight="false" outlineLevel="0" collapsed="false">
      <c r="B23" s="30"/>
      <c r="C23" s="17"/>
      <c r="D23" s="17"/>
      <c r="E23" s="26"/>
      <c r="G23" s="11" t="str">
        <f aca="false">IF(Setup!E21="","",Setup!E21)</f>
        <v>Gifts</v>
      </c>
      <c r="H23" s="22" t="n">
        <f aca="false">IF(G23="","",Setup!G21)</f>
        <v>40</v>
      </c>
      <c r="I23" s="22" t="n">
        <f aca="false">IF(G23="","",SUMIFS($E$7:$E$86,$D$7:$D$86,G23))</f>
        <v>0</v>
      </c>
      <c r="J23" s="22" t="n">
        <f aca="false">IF(G23="","",H23-I23)</f>
        <v>40</v>
      </c>
      <c r="K23" s="33" t="n">
        <f aca="false">IF(OR(G23="",H23=0),"",I23/H23)</f>
        <v>0</v>
      </c>
    </row>
    <row r="24" customFormat="false" ht="15" hidden="false" customHeight="false" outlineLevel="0" collapsed="false">
      <c r="B24" s="30"/>
      <c r="C24" s="17"/>
      <c r="D24" s="17"/>
      <c r="E24" s="26"/>
      <c r="G24" s="11" t="str">
        <f aca="false">IF(Setup!E22="","",Setup!E22)</f>
        <v>Personal care</v>
      </c>
      <c r="H24" s="22" t="n">
        <f aca="false">IF(G24="","",Setup!G22)</f>
        <v>50</v>
      </c>
      <c r="I24" s="22" t="n">
        <f aca="false">IF(G24="","",SUMIFS($E$7:$E$86,$D$7:$D$86,G24))</f>
        <v>0</v>
      </c>
      <c r="J24" s="22" t="n">
        <f aca="false">IF(G24="","",H24-I24)</f>
        <v>50</v>
      </c>
      <c r="K24" s="33" t="n">
        <f aca="false">IF(OR(G24="",H24=0),"",I24/H24)</f>
        <v>0</v>
      </c>
    </row>
    <row r="25" customFormat="false" ht="15" hidden="false" customHeight="false" outlineLevel="0" collapsed="false">
      <c r="B25" s="30"/>
      <c r="C25" s="17"/>
      <c r="D25" s="17"/>
      <c r="E25" s="26"/>
      <c r="G25" s="11" t="str">
        <f aca="false">IF(Setup!E23="","",Setup!E23)</f>
        <v>Emergency fund</v>
      </c>
      <c r="H25" s="22" t="n">
        <f aca="false">IF(G25="","",Setup!G23)</f>
        <v>200</v>
      </c>
      <c r="I25" s="22" t="n">
        <f aca="false">IF(G25="","",SUMIFS($E$7:$E$86,$D$7:$D$86,G25))</f>
        <v>0</v>
      </c>
      <c r="J25" s="22" t="n">
        <f aca="false">IF(G25="","",H25-I25)</f>
        <v>200</v>
      </c>
      <c r="K25" s="33" t="n">
        <f aca="false">IF(OR(G25="",H25=0),"",I25/H25)</f>
        <v>0</v>
      </c>
    </row>
    <row r="26" customFormat="false" ht="15" hidden="false" customHeight="false" outlineLevel="0" collapsed="false">
      <c r="B26" s="30"/>
      <c r="C26" s="17"/>
      <c r="D26" s="17"/>
      <c r="E26" s="26"/>
      <c r="G26" s="11" t="str">
        <f aca="false">IF(Setup!E24="","",Setup!E24)</f>
        <v>Sinking funds</v>
      </c>
      <c r="H26" s="22" t="n">
        <f aca="false">IF(G26="","",Setup!G24)</f>
        <v>100</v>
      </c>
      <c r="I26" s="22" t="n">
        <f aca="false">IF(G26="","",SUMIFS($E$7:$E$86,$D$7:$D$86,G26))</f>
        <v>0</v>
      </c>
      <c r="J26" s="22" t="n">
        <f aca="false">IF(G26="","",H26-I26)</f>
        <v>100</v>
      </c>
      <c r="K26" s="33" t="n">
        <f aca="false">IF(OR(G26="",H26=0),"",I26/H26)</f>
        <v>0</v>
      </c>
    </row>
    <row r="27" customFormat="false" ht="15" hidden="false" customHeight="false" outlineLevel="0" collapsed="false">
      <c r="B27" s="30"/>
      <c r="C27" s="17"/>
      <c r="D27" s="17"/>
      <c r="E27" s="26"/>
      <c r="G27" s="11" t="str">
        <f aca="false">IF(Setup!E25="","",Setup!E25)</f>
        <v>Retirement</v>
      </c>
      <c r="H27" s="22" t="n">
        <f aca="false">IF(G27="","",Setup!G25)</f>
        <v>150</v>
      </c>
      <c r="I27" s="22" t="n">
        <f aca="false">IF(G27="","",SUMIFS($E$7:$E$86,$D$7:$D$86,G27))</f>
        <v>0</v>
      </c>
      <c r="J27" s="22" t="n">
        <f aca="false">IF(G27="","",H27-I27)</f>
        <v>150</v>
      </c>
      <c r="K27" s="33" t="n">
        <f aca="false">IF(OR(G27="",H27=0),"",I27/H27)</f>
        <v>0</v>
      </c>
    </row>
    <row r="28" customFormat="false" ht="15" hidden="false" customHeight="false" outlineLevel="0" collapsed="false">
      <c r="B28" s="30"/>
      <c r="C28" s="17"/>
      <c r="D28" s="17"/>
      <c r="E28" s="26"/>
      <c r="G28" s="11" t="str">
        <f aca="false">IF(Setup!E26="","",Setup!E26)</f>
        <v>Credit card</v>
      </c>
      <c r="H28" s="22" t="n">
        <f aca="false">IF(G28="","",Setup!G26)</f>
        <v>150</v>
      </c>
      <c r="I28" s="22" t="n">
        <f aca="false">IF(G28="","",SUMIFS($E$7:$E$86,$D$7:$D$86,G28))</f>
        <v>0</v>
      </c>
      <c r="J28" s="22" t="n">
        <f aca="false">IF(G28="","",H28-I28)</f>
        <v>150</v>
      </c>
      <c r="K28" s="33" t="n">
        <f aca="false">IF(OR(G28="",H28=0),"",I28/H28)</f>
        <v>0</v>
      </c>
    </row>
    <row r="29" customFormat="false" ht="15" hidden="false" customHeight="false" outlineLevel="0" collapsed="false">
      <c r="B29" s="30"/>
      <c r="C29" s="17"/>
      <c r="D29" s="17"/>
      <c r="E29" s="26"/>
      <c r="G29" s="11" t="str">
        <f aca="false">IF(Setup!E27="","",Setup!E27)</f>
        <v>Student loan</v>
      </c>
      <c r="H29" s="22" t="n">
        <f aca="false">IF(G29="","",Setup!G27)</f>
        <v>180</v>
      </c>
      <c r="I29" s="22" t="n">
        <f aca="false">IF(G29="","",SUMIFS($E$7:$E$86,$D$7:$D$86,G29))</f>
        <v>0</v>
      </c>
      <c r="J29" s="22" t="n">
        <f aca="false">IF(G29="","",H29-I29)</f>
        <v>180</v>
      </c>
      <c r="K29" s="33" t="n">
        <f aca="false">IF(OR(G29="",H29=0),"",I29/H29)</f>
        <v>0</v>
      </c>
    </row>
    <row r="30" customFormat="false" ht="15" hidden="false" customHeight="false" outlineLevel="0" collapsed="false">
      <c r="B30" s="30"/>
      <c r="C30" s="17"/>
      <c r="D30" s="17"/>
      <c r="E30" s="26"/>
      <c r="G30" s="11" t="str">
        <f aca="false">IF(Setup!E28="","",Setup!E28)</f>
        <v/>
      </c>
      <c r="H30" s="22" t="str">
        <f aca="false">IF(G30="","",Setup!G28)</f>
        <v/>
      </c>
      <c r="I30" s="22" t="str">
        <f aca="false">IF(G30="","",SUMIFS($E$7:$E$86,$D$7:$D$86,G30))</f>
        <v/>
      </c>
      <c r="J30" s="22" t="str">
        <f aca="false">IF(G30="","",H30-I30)</f>
        <v/>
      </c>
      <c r="K30" s="33" t="str">
        <f aca="false">IF(OR(G30="",H30=0),"",I30/H30)</f>
        <v/>
      </c>
    </row>
    <row r="31" customFormat="false" ht="15" hidden="false" customHeight="false" outlineLevel="0" collapsed="false">
      <c r="B31" s="30"/>
      <c r="C31" s="17"/>
      <c r="D31" s="17"/>
      <c r="E31" s="26"/>
      <c r="G31" s="11" t="str">
        <f aca="false">IF(Setup!E29="","",Setup!E29)</f>
        <v/>
      </c>
      <c r="H31" s="22" t="str">
        <f aca="false">IF(G31="","",Setup!G29)</f>
        <v/>
      </c>
      <c r="I31" s="22" t="str">
        <f aca="false">IF(G31="","",SUMIFS($E$7:$E$86,$D$7:$D$86,G31))</f>
        <v/>
      </c>
      <c r="J31" s="22" t="str">
        <f aca="false">IF(G31="","",H31-I31)</f>
        <v/>
      </c>
      <c r="K31" s="33" t="str">
        <f aca="false">IF(OR(G31="",H31=0),"",I31/H31)</f>
        <v/>
      </c>
    </row>
    <row r="32" customFormat="false" ht="15" hidden="false" customHeight="false" outlineLevel="0" collapsed="false">
      <c r="B32" s="30"/>
      <c r="C32" s="17"/>
      <c r="D32" s="17"/>
      <c r="E32" s="26"/>
      <c r="G32" s="11" t="str">
        <f aca="false">IF(Setup!E30="","",Setup!E30)</f>
        <v/>
      </c>
      <c r="H32" s="22" t="str">
        <f aca="false">IF(G32="","",Setup!G30)</f>
        <v/>
      </c>
      <c r="I32" s="22" t="str">
        <f aca="false">IF(G32="","",SUMIFS($E$7:$E$86,$D$7:$D$86,G32))</f>
        <v/>
      </c>
      <c r="J32" s="22" t="str">
        <f aca="false">IF(G32="","",H32-I32)</f>
        <v/>
      </c>
      <c r="K32" s="33" t="str">
        <f aca="false">IF(OR(G32="",H32=0),"",I32/H32)</f>
        <v/>
      </c>
    </row>
    <row r="33" customFormat="false" ht="15" hidden="false" customHeight="false" outlineLevel="0" collapsed="false">
      <c r="B33" s="30"/>
      <c r="C33" s="17"/>
      <c r="D33" s="17"/>
      <c r="E33" s="26"/>
      <c r="G33" s="11" t="str">
        <f aca="false">IF(Setup!E31="","",Setup!E31)</f>
        <v/>
      </c>
      <c r="H33" s="22" t="str">
        <f aca="false">IF(G33="","",Setup!G31)</f>
        <v/>
      </c>
      <c r="I33" s="22" t="str">
        <f aca="false">IF(G33="","",SUMIFS($E$7:$E$86,$D$7:$D$86,G33))</f>
        <v/>
      </c>
      <c r="J33" s="22" t="str">
        <f aca="false">IF(G33="","",H33-I33)</f>
        <v/>
      </c>
      <c r="K33" s="33" t="str">
        <f aca="false">IF(OR(G33="",H33=0),"",I33/H33)</f>
        <v/>
      </c>
    </row>
    <row r="34" customFormat="false" ht="15" hidden="false" customHeight="false" outlineLevel="0" collapsed="false">
      <c r="B34" s="30"/>
      <c r="C34" s="17"/>
      <c r="D34" s="17"/>
      <c r="E34" s="26"/>
      <c r="G34" s="11" t="str">
        <f aca="false">IF(Setup!E32="","",Setup!E32)</f>
        <v/>
      </c>
      <c r="H34" s="22" t="str">
        <f aca="false">IF(G34="","",Setup!G32)</f>
        <v/>
      </c>
      <c r="I34" s="22" t="str">
        <f aca="false">IF(G34="","",SUMIFS($E$7:$E$86,$D$7:$D$86,G34))</f>
        <v/>
      </c>
      <c r="J34" s="22" t="str">
        <f aca="false">IF(G34="","",H34-I34)</f>
        <v/>
      </c>
      <c r="K34" s="33" t="str">
        <f aca="false">IF(OR(G34="",H34=0),"",I34/H34)</f>
        <v/>
      </c>
    </row>
    <row r="35" customFormat="false" ht="15" hidden="false" customHeight="false" outlineLevel="0" collapsed="false">
      <c r="B35" s="30"/>
      <c r="C35" s="17"/>
      <c r="D35" s="17"/>
      <c r="E35" s="26"/>
      <c r="G35" s="11" t="str">
        <f aca="false">IF(Setup!E33="","",Setup!E33)</f>
        <v/>
      </c>
      <c r="H35" s="22" t="str">
        <f aca="false">IF(G35="","",Setup!G33)</f>
        <v/>
      </c>
      <c r="I35" s="22" t="str">
        <f aca="false">IF(G35="","",SUMIFS($E$7:$E$86,$D$7:$D$86,G35))</f>
        <v/>
      </c>
      <c r="J35" s="22" t="str">
        <f aca="false">IF(G35="","",H35-I35)</f>
        <v/>
      </c>
      <c r="K35" s="33" t="str">
        <f aca="false">IF(OR(G35="",H35=0),"",I35/H35)</f>
        <v/>
      </c>
    </row>
    <row r="36" customFormat="false" ht="15" hidden="false" customHeight="false" outlineLevel="0" collapsed="false">
      <c r="B36" s="30"/>
      <c r="C36" s="17"/>
      <c r="D36" s="17"/>
      <c r="E36" s="26"/>
      <c r="G36" s="11" t="str">
        <f aca="false">IF(Setup!E34="","",Setup!E34)</f>
        <v/>
      </c>
      <c r="H36" s="22" t="str">
        <f aca="false">IF(G36="","",Setup!G34)</f>
        <v/>
      </c>
      <c r="I36" s="22" t="str">
        <f aca="false">IF(G36="","",SUMIFS($E$7:$E$86,$D$7:$D$86,G36))</f>
        <v/>
      </c>
      <c r="J36" s="22" t="str">
        <f aca="false">IF(G36="","",H36-I36)</f>
        <v/>
      </c>
      <c r="K36" s="33" t="str">
        <f aca="false">IF(OR(G36="",H36=0),"",I36/H36)</f>
        <v/>
      </c>
    </row>
    <row r="37" customFormat="false" ht="15" hidden="false" customHeight="false" outlineLevel="0" collapsed="false">
      <c r="B37" s="30"/>
      <c r="C37" s="17"/>
      <c r="D37" s="17"/>
      <c r="E37" s="26"/>
      <c r="G37" s="11" t="str">
        <f aca="false">IF(Setup!E35="","",Setup!E35)</f>
        <v/>
      </c>
      <c r="H37" s="22" t="str">
        <f aca="false">IF(G37="","",Setup!G35)</f>
        <v/>
      </c>
      <c r="I37" s="22" t="str">
        <f aca="false">IF(G37="","",SUMIFS($E$7:$E$86,$D$7:$D$86,G37))</f>
        <v/>
      </c>
      <c r="J37" s="22" t="str">
        <f aca="false">IF(G37="","",H37-I37)</f>
        <v/>
      </c>
      <c r="K37" s="33" t="str">
        <f aca="false">IF(OR(G37="",H37=0),"",I37/H37)</f>
        <v/>
      </c>
    </row>
    <row r="38" customFormat="false" ht="15" hidden="false" customHeight="false" outlineLevel="0" collapsed="false">
      <c r="B38" s="30"/>
      <c r="C38" s="17"/>
      <c r="D38" s="17"/>
      <c r="E38" s="26"/>
      <c r="G38" s="11" t="str">
        <f aca="false">IF(Setup!E36="","",Setup!E36)</f>
        <v/>
      </c>
      <c r="H38" s="22" t="str">
        <f aca="false">IF(G38="","",Setup!G36)</f>
        <v/>
      </c>
      <c r="I38" s="22" t="str">
        <f aca="false">IF(G38="","",SUMIFS($E$7:$E$86,$D$7:$D$86,G38))</f>
        <v/>
      </c>
      <c r="J38" s="22" t="str">
        <f aca="false">IF(G38="","",H38-I38)</f>
        <v/>
      </c>
      <c r="K38" s="33" t="str">
        <f aca="false">IF(OR(G38="",H38=0),"",I38/H38)</f>
        <v/>
      </c>
    </row>
    <row r="39" customFormat="false" ht="15" hidden="false" customHeight="false" outlineLevel="0" collapsed="false">
      <c r="B39" s="30"/>
      <c r="C39" s="17"/>
      <c r="D39" s="17"/>
      <c r="E39" s="26"/>
      <c r="G39" s="11" t="str">
        <f aca="false">IF(Setup!E37="","",Setup!E37)</f>
        <v/>
      </c>
      <c r="H39" s="22" t="str">
        <f aca="false">IF(G39="","",Setup!G37)</f>
        <v/>
      </c>
      <c r="I39" s="22" t="str">
        <f aca="false">IF(G39="","",SUMIFS($E$7:$E$86,$D$7:$D$86,G39))</f>
        <v/>
      </c>
      <c r="J39" s="22" t="str">
        <f aca="false">IF(G39="","",H39-I39)</f>
        <v/>
      </c>
      <c r="K39" s="33" t="str">
        <f aca="false">IF(OR(G39="",H39=0),"",I39/H39)</f>
        <v/>
      </c>
    </row>
    <row r="40" customFormat="false" ht="15" hidden="false" customHeight="false" outlineLevel="0" collapsed="false">
      <c r="B40" s="30"/>
      <c r="C40" s="17"/>
      <c r="D40" s="17"/>
      <c r="E40" s="26"/>
      <c r="G40" s="11" t="str">
        <f aca="false">IF(Setup!E38="","",Setup!E38)</f>
        <v/>
      </c>
      <c r="H40" s="22" t="str">
        <f aca="false">IF(G40="","",Setup!G38)</f>
        <v/>
      </c>
      <c r="I40" s="22" t="str">
        <f aca="false">IF(G40="","",SUMIFS($E$7:$E$86,$D$7:$D$86,G40))</f>
        <v/>
      </c>
      <c r="J40" s="22" t="str">
        <f aca="false">IF(G40="","",H40-I40)</f>
        <v/>
      </c>
      <c r="K40" s="33" t="str">
        <f aca="false">IF(OR(G40="",H40=0),"",I40/H40)</f>
        <v/>
      </c>
    </row>
    <row r="41" customFormat="false" ht="15" hidden="false" customHeight="false" outlineLevel="0" collapsed="false">
      <c r="B41" s="30"/>
      <c r="C41" s="17"/>
      <c r="D41" s="17"/>
      <c r="E41" s="26"/>
      <c r="G41" s="11" t="str">
        <f aca="false">IF(Setup!E39="","",Setup!E39)</f>
        <v/>
      </c>
      <c r="H41" s="22" t="str">
        <f aca="false">IF(G41="","",Setup!G39)</f>
        <v/>
      </c>
      <c r="I41" s="22" t="str">
        <f aca="false">IF(G41="","",SUMIFS($E$7:$E$86,$D$7:$D$86,G41))</f>
        <v/>
      </c>
      <c r="J41" s="22" t="str">
        <f aca="false">IF(G41="","",H41-I41)</f>
        <v/>
      </c>
      <c r="K41" s="33" t="str">
        <f aca="false">IF(OR(G41="",H41=0),"",I41/H41)</f>
        <v/>
      </c>
    </row>
    <row r="42" customFormat="false" ht="15" hidden="false" customHeight="false" outlineLevel="0" collapsed="false">
      <c r="B42" s="30"/>
      <c r="C42" s="17"/>
      <c r="D42" s="17"/>
      <c r="E42" s="26"/>
    </row>
    <row r="43" customFormat="false" ht="15" hidden="false" customHeight="false" outlineLevel="0" collapsed="false">
      <c r="B43" s="30"/>
      <c r="C43" s="17"/>
      <c r="D43" s="17"/>
      <c r="E43" s="26"/>
    </row>
    <row r="44" customFormat="false" ht="15" hidden="false" customHeight="false" outlineLevel="0" collapsed="false">
      <c r="B44" s="30"/>
      <c r="C44" s="17"/>
      <c r="D44" s="17"/>
      <c r="E44" s="26"/>
    </row>
    <row r="45" customFormat="false" ht="15" hidden="false" customHeight="false" outlineLevel="0" collapsed="false">
      <c r="B45" s="30"/>
      <c r="C45" s="17"/>
      <c r="D45" s="17"/>
      <c r="E45" s="26"/>
    </row>
    <row r="46" customFormat="false" ht="15" hidden="false" customHeight="false" outlineLevel="0" collapsed="false">
      <c r="B46" s="30"/>
      <c r="C46" s="17"/>
      <c r="D46" s="17"/>
      <c r="E46" s="26"/>
    </row>
    <row r="47" customFormat="false" ht="15" hidden="false" customHeight="false" outlineLevel="0" collapsed="false">
      <c r="B47" s="30"/>
      <c r="C47" s="17"/>
      <c r="D47" s="17"/>
      <c r="E47" s="26"/>
    </row>
    <row r="48" customFormat="false" ht="15" hidden="false" customHeight="false" outlineLevel="0" collapsed="false">
      <c r="B48" s="30"/>
      <c r="C48" s="17"/>
      <c r="D48" s="17"/>
      <c r="E48" s="26"/>
    </row>
    <row r="49" customFormat="false" ht="15" hidden="false" customHeight="false" outlineLevel="0" collapsed="false">
      <c r="B49" s="30"/>
      <c r="C49" s="17"/>
      <c r="D49" s="17"/>
      <c r="E49" s="26"/>
    </row>
    <row r="50" customFormat="false" ht="15" hidden="false" customHeight="false" outlineLevel="0" collapsed="false">
      <c r="B50" s="30"/>
      <c r="C50" s="17"/>
      <c r="D50" s="17"/>
      <c r="E50" s="26"/>
    </row>
    <row r="51" customFormat="false" ht="15" hidden="false" customHeight="false" outlineLevel="0" collapsed="false">
      <c r="B51" s="30"/>
      <c r="C51" s="17"/>
      <c r="D51" s="17"/>
      <c r="E51" s="26"/>
    </row>
    <row r="52" customFormat="false" ht="15" hidden="false" customHeight="false" outlineLevel="0" collapsed="false">
      <c r="B52" s="30"/>
      <c r="C52" s="17"/>
      <c r="D52" s="17"/>
      <c r="E52" s="26"/>
    </row>
    <row r="53" customFormat="false" ht="15" hidden="false" customHeight="false" outlineLevel="0" collapsed="false">
      <c r="B53" s="30"/>
      <c r="C53" s="17"/>
      <c r="D53" s="17"/>
      <c r="E53" s="26"/>
    </row>
    <row r="54" customFormat="false" ht="15" hidden="false" customHeight="false" outlineLevel="0" collapsed="false">
      <c r="B54" s="30"/>
      <c r="C54" s="17"/>
      <c r="D54" s="17"/>
      <c r="E54" s="26"/>
    </row>
    <row r="55" customFormat="false" ht="15" hidden="false" customHeight="false" outlineLevel="0" collapsed="false">
      <c r="B55" s="30"/>
      <c r="C55" s="17"/>
      <c r="D55" s="17"/>
      <c r="E55" s="26"/>
    </row>
    <row r="56" customFormat="false" ht="15" hidden="false" customHeight="false" outlineLevel="0" collapsed="false">
      <c r="B56" s="30"/>
      <c r="C56" s="17"/>
      <c r="D56" s="17"/>
      <c r="E56" s="26"/>
    </row>
    <row r="57" customFormat="false" ht="15" hidden="false" customHeight="false" outlineLevel="0" collapsed="false">
      <c r="B57" s="30"/>
      <c r="C57" s="17"/>
      <c r="D57" s="17"/>
      <c r="E57" s="26"/>
    </row>
    <row r="58" customFormat="false" ht="15" hidden="false" customHeight="false" outlineLevel="0" collapsed="false">
      <c r="B58" s="30"/>
      <c r="C58" s="17"/>
      <c r="D58" s="17"/>
      <c r="E58" s="26"/>
    </row>
    <row r="59" customFormat="false" ht="15" hidden="false" customHeight="false" outlineLevel="0" collapsed="false">
      <c r="B59" s="30"/>
      <c r="C59" s="17"/>
      <c r="D59" s="17"/>
      <c r="E59" s="26"/>
    </row>
    <row r="60" customFormat="false" ht="15" hidden="false" customHeight="false" outlineLevel="0" collapsed="false">
      <c r="B60" s="30"/>
      <c r="C60" s="17"/>
      <c r="D60" s="17"/>
      <c r="E60" s="26"/>
    </row>
    <row r="61" customFormat="false" ht="15" hidden="false" customHeight="false" outlineLevel="0" collapsed="false">
      <c r="B61" s="30"/>
      <c r="C61" s="17"/>
      <c r="D61" s="17"/>
      <c r="E61" s="26"/>
    </row>
    <row r="62" customFormat="false" ht="15" hidden="false" customHeight="false" outlineLevel="0" collapsed="false">
      <c r="B62" s="30"/>
      <c r="C62" s="17"/>
      <c r="D62" s="17"/>
      <c r="E62" s="26"/>
    </row>
    <row r="63" customFormat="false" ht="15" hidden="false" customHeight="false" outlineLevel="0" collapsed="false">
      <c r="B63" s="30"/>
      <c r="C63" s="17"/>
      <c r="D63" s="17"/>
      <c r="E63" s="26"/>
    </row>
    <row r="64" customFormat="false" ht="15" hidden="false" customHeight="false" outlineLevel="0" collapsed="false">
      <c r="B64" s="30"/>
      <c r="C64" s="17"/>
      <c r="D64" s="17"/>
      <c r="E64" s="26"/>
    </row>
    <row r="65" customFormat="false" ht="15" hidden="false" customHeight="false" outlineLevel="0" collapsed="false">
      <c r="B65" s="30"/>
      <c r="C65" s="17"/>
      <c r="D65" s="17"/>
      <c r="E65" s="26"/>
    </row>
    <row r="66" customFormat="false" ht="15" hidden="false" customHeight="false" outlineLevel="0" collapsed="false">
      <c r="B66" s="30"/>
      <c r="C66" s="17"/>
      <c r="D66" s="17"/>
      <c r="E66" s="26"/>
    </row>
    <row r="67" customFormat="false" ht="15" hidden="false" customHeight="false" outlineLevel="0" collapsed="false">
      <c r="B67" s="30"/>
      <c r="C67" s="17"/>
      <c r="D67" s="17"/>
      <c r="E67" s="26"/>
    </row>
    <row r="68" customFormat="false" ht="15" hidden="false" customHeight="false" outlineLevel="0" collapsed="false">
      <c r="B68" s="30"/>
      <c r="C68" s="17"/>
      <c r="D68" s="17"/>
      <c r="E68" s="26"/>
    </row>
    <row r="69" customFormat="false" ht="15" hidden="false" customHeight="false" outlineLevel="0" collapsed="false">
      <c r="B69" s="30"/>
      <c r="C69" s="17"/>
      <c r="D69" s="17"/>
      <c r="E69" s="26"/>
    </row>
    <row r="70" customFormat="false" ht="15" hidden="false" customHeight="false" outlineLevel="0" collapsed="false">
      <c r="B70" s="30"/>
      <c r="C70" s="17"/>
      <c r="D70" s="17"/>
      <c r="E70" s="26"/>
    </row>
    <row r="71" customFormat="false" ht="15" hidden="false" customHeight="false" outlineLevel="0" collapsed="false">
      <c r="B71" s="30"/>
      <c r="C71" s="17"/>
      <c r="D71" s="17"/>
      <c r="E71" s="26"/>
    </row>
    <row r="72" customFormat="false" ht="15" hidden="false" customHeight="false" outlineLevel="0" collapsed="false">
      <c r="B72" s="30"/>
      <c r="C72" s="17"/>
      <c r="D72" s="17"/>
      <c r="E72" s="26"/>
    </row>
    <row r="73" customFormat="false" ht="15" hidden="false" customHeight="false" outlineLevel="0" collapsed="false">
      <c r="B73" s="30"/>
      <c r="C73" s="17"/>
      <c r="D73" s="17"/>
      <c r="E73" s="26"/>
    </row>
    <row r="74" customFormat="false" ht="15" hidden="false" customHeight="false" outlineLevel="0" collapsed="false">
      <c r="B74" s="30"/>
      <c r="C74" s="17"/>
      <c r="D74" s="17"/>
      <c r="E74" s="26"/>
    </row>
    <row r="75" customFormat="false" ht="15" hidden="false" customHeight="false" outlineLevel="0" collapsed="false">
      <c r="B75" s="30"/>
      <c r="C75" s="17"/>
      <c r="D75" s="17"/>
      <c r="E75" s="26"/>
    </row>
    <row r="76" customFormat="false" ht="15" hidden="false" customHeight="false" outlineLevel="0" collapsed="false">
      <c r="B76" s="30"/>
      <c r="C76" s="17"/>
      <c r="D76" s="17"/>
      <c r="E76" s="26"/>
    </row>
    <row r="77" customFormat="false" ht="15" hidden="false" customHeight="false" outlineLevel="0" collapsed="false">
      <c r="B77" s="30"/>
      <c r="C77" s="17"/>
      <c r="D77" s="17"/>
      <c r="E77" s="26"/>
    </row>
    <row r="78" customFormat="false" ht="15" hidden="false" customHeight="false" outlineLevel="0" collapsed="false">
      <c r="B78" s="30"/>
      <c r="C78" s="17"/>
      <c r="D78" s="17"/>
      <c r="E78" s="26"/>
    </row>
    <row r="79" customFormat="false" ht="15" hidden="false" customHeight="false" outlineLevel="0" collapsed="false">
      <c r="B79" s="30"/>
      <c r="C79" s="17"/>
      <c r="D79" s="17"/>
      <c r="E79" s="26"/>
    </row>
    <row r="80" customFormat="false" ht="15" hidden="false" customHeight="false" outlineLevel="0" collapsed="false">
      <c r="B80" s="30"/>
      <c r="C80" s="17"/>
      <c r="D80" s="17"/>
      <c r="E80" s="26"/>
    </row>
    <row r="81" customFormat="false" ht="15" hidden="false" customHeight="false" outlineLevel="0" collapsed="false">
      <c r="B81" s="30"/>
      <c r="C81" s="17"/>
      <c r="D81" s="17"/>
      <c r="E81" s="26"/>
    </row>
    <row r="82" customFormat="false" ht="15" hidden="false" customHeight="false" outlineLevel="0" collapsed="false">
      <c r="B82" s="30"/>
      <c r="C82" s="17"/>
      <c r="D82" s="17"/>
      <c r="E82" s="26"/>
    </row>
    <row r="83" customFormat="false" ht="15" hidden="false" customHeight="false" outlineLevel="0" collapsed="false">
      <c r="B83" s="30"/>
      <c r="C83" s="17"/>
      <c r="D83" s="17"/>
      <c r="E83" s="26"/>
    </row>
    <row r="84" customFormat="false" ht="15" hidden="false" customHeight="false" outlineLevel="0" collapsed="false">
      <c r="B84" s="30"/>
      <c r="C84" s="17"/>
      <c r="D84" s="17"/>
      <c r="E84" s="26"/>
    </row>
    <row r="85" customFormat="false" ht="15" hidden="false" customHeight="false" outlineLevel="0" collapsed="false">
      <c r="B85" s="30"/>
      <c r="C85" s="17"/>
      <c r="D85" s="17"/>
      <c r="E85" s="26"/>
    </row>
    <row r="86" customFormat="false" ht="15" hidden="false" customHeight="false" outlineLevel="0" collapsed="false">
      <c r="B86" s="30"/>
      <c r="C86" s="17"/>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K12:K41">
    <cfRule type="dataBar" priority="4">
      <dataBar showValue="1" minLength="10" maxLength="90">
        <cfvo type="num" val="0"/>
        <cfvo type="num" val="1"/>
        <color rgb="FF2F6F5E"/>
      </dataBar>
      <extLst>
        <ext xmlns:x14="http://schemas.microsoft.com/office/spreadsheetml/2009/9/main" uri="{B025F937-C7B1-47D3-B67F-A62EFF666E3E}">
          <x14:id>{E07D84EA-FA2A-4CFE-8F93-B02BF890A21B}</x14:id>
        </ext>
      </extLst>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r:id="rId1" location="'Start%20here'!A1" display="Start here"/>
    <hyperlink ref="C4" r:id="rId2" location="'Dashboard'!A1" display="Dashboard"/>
    <hyperlink ref="D4" r:id="rId3" location="'Setup'!A1" display="Setup"/>
    <hyperlink ref="E4" r:id="rId4" location="'January'!A1" display="Months"/>
    <hyperlink ref="F4" r:id="rId5" location="'Bills'!A1" display="Bills"/>
    <hyperlink ref="G4" r:id="rId6" location="'Paycheck%20plan'!A1" display="Paycheck"/>
    <hyperlink ref="H4" r:id="rId7" location="'Debt%20payoff'!A1" display="Debt"/>
    <hyperlink ref="I4" r:id="rId8" location="'Savings%20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E07D84EA-FA2A-4CFE-8F93-B02BF890A21B}">
            <x14:dataBar minLength="10" maxLength="90" axisPosition="none" gradient="true">
              <x14:cfvo type="num">
                <xm:f>0</xm:f>
              </x14:cfvo>
              <x14:cfvo type="num">
                <xm:f>1</xm:f>
              </x14:cfvo>
              <x14:negativeFillColor rgb="FF2F6F5E"/>
              <x14:axisColor rgb="FF000000"/>
            </x14:dataBar>
          </x14:cfRule>
          <xm:sqref>K12:K41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K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10"/>
    <col collapsed="false" customWidth="true" hidden="false" outlineLevel="0" max="29" min="12" style="0" width="14"/>
  </cols>
  <sheetData>
    <row r="2" customFormat="false" ht="33.75" hidden="false" customHeight="true" outlineLevel="0" collapsed="false">
      <c r="B2" s="1" t="s">
        <v>32</v>
      </c>
    </row>
    <row r="3" customFormat="false" ht="15" hidden="false" customHeight="false" outlineLevel="0" collapsed="false">
      <c r="B3" s="2" t="s">
        <v>99</v>
      </c>
    </row>
    <row r="4" customFormat="false" ht="15" hidden="false" customHeight="false" outlineLevel="0" collapsed="false">
      <c r="B4" s="3" t="s">
        <v>2</v>
      </c>
      <c r="C4" s="3" t="s">
        <v>3</v>
      </c>
      <c r="D4" s="3" t="s">
        <v>4</v>
      </c>
      <c r="E4" s="3" t="s">
        <v>5</v>
      </c>
      <c r="F4" s="3" t="s">
        <v>6</v>
      </c>
      <c r="G4" s="3" t="s">
        <v>7</v>
      </c>
      <c r="H4" s="3" t="s">
        <v>8</v>
      </c>
      <c r="I4" s="3" t="s">
        <v>9</v>
      </c>
    </row>
    <row r="6" customFormat="false" ht="21.75" hidden="false" customHeight="true" outlineLevel="0" collapsed="false">
      <c r="B6" s="10" t="s">
        <v>100</v>
      </c>
      <c r="C6" s="10" t="s">
        <v>101</v>
      </c>
      <c r="D6" s="10" t="s">
        <v>64</v>
      </c>
      <c r="E6" s="10" t="s">
        <v>102</v>
      </c>
      <c r="G6" s="27" t="s">
        <v>103</v>
      </c>
      <c r="H6" s="28" t="n">
        <f aca="false">Setup!$C$18</f>
        <v>3900</v>
      </c>
      <c r="I6" s="29" t="s">
        <v>104</v>
      </c>
    </row>
    <row r="7" customFormat="false" ht="15" hidden="false" customHeight="false" outlineLevel="0" collapsed="false">
      <c r="B7" s="30"/>
      <c r="C7" s="17"/>
      <c r="D7" s="17"/>
      <c r="E7" s="26"/>
      <c r="G7" s="31" t="s">
        <v>61</v>
      </c>
      <c r="H7" s="32" t="n">
        <f aca="false">SUM(E7:E86)</f>
        <v>0</v>
      </c>
    </row>
    <row r="8" customFormat="false" ht="15" hidden="false" customHeight="false" outlineLevel="0" collapsed="false">
      <c r="B8" s="30"/>
      <c r="C8" s="17"/>
      <c r="D8" s="17"/>
      <c r="E8" s="26"/>
      <c r="G8" s="31" t="s">
        <v>62</v>
      </c>
      <c r="H8" s="32" t="n">
        <f aca="false">H6-H7</f>
        <v>3900</v>
      </c>
    </row>
    <row r="9" customFormat="false" ht="15" hidden="false" customHeight="false" outlineLevel="0" collapsed="false">
      <c r="B9" s="30"/>
      <c r="C9" s="17"/>
      <c r="D9" s="17"/>
      <c r="E9" s="26"/>
      <c r="G9" s="31" t="s">
        <v>108</v>
      </c>
      <c r="H9" s="32" t="n">
        <f aca="false">SUMPRODUCT(SUMIFS($E$7:$E$86,$D$7:$D$86,Setup!$E$10:$E$39)*((Setup!$F$10:$F$39="Savings")+(Setup!$F$10:$F$39="Debt")))</f>
        <v>0</v>
      </c>
    </row>
    <row r="10" customFormat="false" ht="15" hidden="false" customHeight="false" outlineLevel="0" collapsed="false">
      <c r="B10" s="30"/>
      <c r="C10" s="17"/>
      <c r="D10" s="17"/>
      <c r="E10" s="26"/>
    </row>
    <row r="11" customFormat="false" ht="21.75" hidden="false" customHeight="true" outlineLevel="0" collapsed="false">
      <c r="B11" s="30"/>
      <c r="C11" s="17"/>
      <c r="D11" s="17"/>
      <c r="E11" s="26"/>
      <c r="G11" s="10" t="s">
        <v>64</v>
      </c>
      <c r="H11" s="10" t="s">
        <v>110</v>
      </c>
      <c r="I11" s="10" t="s">
        <v>61</v>
      </c>
      <c r="J11" s="10" t="s">
        <v>111</v>
      </c>
      <c r="K11" s="10" t="s">
        <v>112</v>
      </c>
    </row>
    <row r="12" customFormat="false" ht="15" hidden="false" customHeight="false" outlineLevel="0" collapsed="false">
      <c r="B12" s="30"/>
      <c r="C12" s="17"/>
      <c r="D12" s="17"/>
      <c r="E12" s="26"/>
      <c r="G12" s="11" t="str">
        <f aca="false">IF(Setup!E10="","",Setup!E10)</f>
        <v>Rent or mortgage</v>
      </c>
      <c r="H12" s="22" t="n">
        <f aca="false">IF(G12="","",Setup!G10)</f>
        <v>1400</v>
      </c>
      <c r="I12" s="22" t="n">
        <f aca="false">IF(G12="","",SUMIFS($E$7:$E$86,$D$7:$D$86,G12))</f>
        <v>0</v>
      </c>
      <c r="J12" s="22" t="n">
        <f aca="false">IF(G12="","",H12-I12)</f>
        <v>1400</v>
      </c>
      <c r="K12" s="33" t="n">
        <f aca="false">IF(OR(G12="",H12=0),"",I12/H12)</f>
        <v>0</v>
      </c>
    </row>
    <row r="13" customFormat="false" ht="15" hidden="false" customHeight="false" outlineLevel="0" collapsed="false">
      <c r="B13" s="30"/>
      <c r="C13" s="17"/>
      <c r="D13" s="17"/>
      <c r="E13" s="26"/>
      <c r="G13" s="11" t="str">
        <f aca="false">IF(Setup!E11="","",Setup!E11)</f>
        <v>Utilities</v>
      </c>
      <c r="H13" s="22" t="n">
        <f aca="false">IF(G13="","",Setup!G11)</f>
        <v>180</v>
      </c>
      <c r="I13" s="22" t="n">
        <f aca="false">IF(G13="","",SUMIFS($E$7:$E$86,$D$7:$D$86,G13))</f>
        <v>0</v>
      </c>
      <c r="J13" s="22" t="n">
        <f aca="false">IF(G13="","",H13-I13)</f>
        <v>180</v>
      </c>
      <c r="K13" s="33" t="n">
        <f aca="false">IF(OR(G13="",H13=0),"",I13/H13)</f>
        <v>0</v>
      </c>
    </row>
    <row r="14" customFormat="false" ht="15" hidden="false" customHeight="false" outlineLevel="0" collapsed="false">
      <c r="B14" s="30"/>
      <c r="C14" s="17"/>
      <c r="D14" s="17"/>
      <c r="E14" s="26"/>
      <c r="G14" s="11" t="str">
        <f aca="false">IF(Setup!E12="","",Setup!E12)</f>
        <v>Groceries</v>
      </c>
      <c r="H14" s="22" t="n">
        <f aca="false">IF(G14="","",Setup!G12)</f>
        <v>500</v>
      </c>
      <c r="I14" s="22" t="n">
        <f aca="false">IF(G14="","",SUMIFS($E$7:$E$86,$D$7:$D$86,G14))</f>
        <v>0</v>
      </c>
      <c r="J14" s="22" t="n">
        <f aca="false">IF(G14="","",H14-I14)</f>
        <v>500</v>
      </c>
      <c r="K14" s="33" t="n">
        <f aca="false">IF(OR(G14="",H14=0),"",I14/H14)</f>
        <v>0</v>
      </c>
    </row>
    <row r="15" customFormat="false" ht="15" hidden="false" customHeight="false" outlineLevel="0" collapsed="false">
      <c r="B15" s="30"/>
      <c r="C15" s="17"/>
      <c r="D15" s="17"/>
      <c r="E15" s="26"/>
      <c r="G15" s="11" t="str">
        <f aca="false">IF(Setup!E13="","",Setup!E13)</f>
        <v>Transport</v>
      </c>
      <c r="H15" s="22" t="n">
        <f aca="false">IF(G15="","",Setup!G13)</f>
        <v>220</v>
      </c>
      <c r="I15" s="22" t="n">
        <f aca="false">IF(G15="","",SUMIFS($E$7:$E$86,$D$7:$D$86,G15))</f>
        <v>0</v>
      </c>
      <c r="J15" s="22" t="n">
        <f aca="false">IF(G15="","",H15-I15)</f>
        <v>220</v>
      </c>
      <c r="K15" s="33" t="n">
        <f aca="false">IF(OR(G15="",H15=0),"",I15/H15)</f>
        <v>0</v>
      </c>
    </row>
    <row r="16" customFormat="false" ht="15" hidden="false" customHeight="false" outlineLevel="0" collapsed="false">
      <c r="B16" s="30"/>
      <c r="C16" s="17"/>
      <c r="D16" s="17"/>
      <c r="E16" s="26"/>
      <c r="G16" s="11" t="str">
        <f aca="false">IF(Setup!E14="","",Setup!E14)</f>
        <v>Insurance</v>
      </c>
      <c r="H16" s="22" t="n">
        <f aca="false">IF(G16="","",Setup!G14)</f>
        <v>160</v>
      </c>
      <c r="I16" s="22" t="n">
        <f aca="false">IF(G16="","",SUMIFS($E$7:$E$86,$D$7:$D$86,G16))</f>
        <v>0</v>
      </c>
      <c r="J16" s="22" t="n">
        <f aca="false">IF(G16="","",H16-I16)</f>
        <v>160</v>
      </c>
      <c r="K16" s="33" t="n">
        <f aca="false">IF(OR(G16="",H16=0),"",I16/H16)</f>
        <v>0</v>
      </c>
    </row>
    <row r="17" customFormat="false" ht="15" hidden="false" customHeight="false" outlineLevel="0" collapsed="false">
      <c r="B17" s="30"/>
      <c r="C17" s="17"/>
      <c r="D17" s="17"/>
      <c r="E17" s="26"/>
      <c r="G17" s="11" t="str">
        <f aca="false">IF(Setup!E15="","",Setup!E15)</f>
        <v>Phone and internet</v>
      </c>
      <c r="H17" s="22" t="n">
        <f aca="false">IF(G17="","",Setup!G15)</f>
        <v>95</v>
      </c>
      <c r="I17" s="22" t="n">
        <f aca="false">IF(G17="","",SUMIFS($E$7:$E$86,$D$7:$D$86,G17))</f>
        <v>0</v>
      </c>
      <c r="J17" s="22" t="n">
        <f aca="false">IF(G17="","",H17-I17)</f>
        <v>95</v>
      </c>
      <c r="K17" s="33" t="n">
        <f aca="false">IF(OR(G17="",H17=0),"",I17/H17)</f>
        <v>0</v>
      </c>
    </row>
    <row r="18" customFormat="false" ht="15" hidden="false" customHeight="false" outlineLevel="0" collapsed="false">
      <c r="B18" s="30"/>
      <c r="C18" s="17"/>
      <c r="D18" s="17"/>
      <c r="E18" s="26"/>
      <c r="G18" s="11" t="str">
        <f aca="false">IF(Setup!E16="","",Setup!E16)</f>
        <v>Medical</v>
      </c>
      <c r="H18" s="22" t="n">
        <f aca="false">IF(G18="","",Setup!G16)</f>
        <v>60</v>
      </c>
      <c r="I18" s="22" t="n">
        <f aca="false">IF(G18="","",SUMIFS($E$7:$E$86,$D$7:$D$86,G18))</f>
        <v>0</v>
      </c>
      <c r="J18" s="22" t="n">
        <f aca="false">IF(G18="","",H18-I18)</f>
        <v>60</v>
      </c>
      <c r="K18" s="33" t="n">
        <f aca="false">IF(OR(G18="",H18=0),"",I18/H18)</f>
        <v>0</v>
      </c>
    </row>
    <row r="19" customFormat="false" ht="15" hidden="false" customHeight="false" outlineLevel="0" collapsed="false">
      <c r="B19" s="30"/>
      <c r="C19" s="17"/>
      <c r="D19" s="17"/>
      <c r="E19" s="26"/>
      <c r="G19" s="11" t="str">
        <f aca="false">IF(Setup!E17="","",Setup!E17)</f>
        <v>Eating out</v>
      </c>
      <c r="H19" s="22" t="n">
        <f aca="false">IF(G19="","",Setup!G17)</f>
        <v>150</v>
      </c>
      <c r="I19" s="22" t="n">
        <f aca="false">IF(G19="","",SUMIFS($E$7:$E$86,$D$7:$D$86,G19))</f>
        <v>0</v>
      </c>
      <c r="J19" s="22" t="n">
        <f aca="false">IF(G19="","",H19-I19)</f>
        <v>150</v>
      </c>
      <c r="K19" s="33" t="n">
        <f aca="false">IF(OR(G19="",H19=0),"",I19/H19)</f>
        <v>0</v>
      </c>
    </row>
    <row r="20" customFormat="false" ht="15" hidden="false" customHeight="false" outlineLevel="0" collapsed="false">
      <c r="B20" s="30"/>
      <c r="C20" s="17"/>
      <c r="D20" s="17"/>
      <c r="E20" s="26"/>
      <c r="G20" s="11" t="str">
        <f aca="false">IF(Setup!E18="","",Setup!E18)</f>
        <v>Shopping</v>
      </c>
      <c r="H20" s="22" t="n">
        <f aca="false">IF(G20="","",Setup!G18)</f>
        <v>120</v>
      </c>
      <c r="I20" s="22" t="n">
        <f aca="false">IF(G20="","",SUMIFS($E$7:$E$86,$D$7:$D$86,G20))</f>
        <v>0</v>
      </c>
      <c r="J20" s="22" t="n">
        <f aca="false">IF(G20="","",H20-I20)</f>
        <v>120</v>
      </c>
      <c r="K20" s="33" t="n">
        <f aca="false">IF(OR(G20="",H20=0),"",I20/H20)</f>
        <v>0</v>
      </c>
    </row>
    <row r="21" customFormat="false" ht="15" hidden="false" customHeight="false" outlineLevel="0" collapsed="false">
      <c r="B21" s="30"/>
      <c r="C21" s="17"/>
      <c r="D21" s="17"/>
      <c r="E21" s="26"/>
      <c r="G21" s="11" t="str">
        <f aca="false">IF(Setup!E19="","",Setup!E19)</f>
        <v>Subscriptions</v>
      </c>
      <c r="H21" s="22" t="n">
        <f aca="false">IF(G21="","",Setup!G19)</f>
        <v>45</v>
      </c>
      <c r="I21" s="22" t="n">
        <f aca="false">IF(G21="","",SUMIFS($E$7:$E$86,$D$7:$D$86,G21))</f>
        <v>0</v>
      </c>
      <c r="J21" s="22" t="n">
        <f aca="false">IF(G21="","",H21-I21)</f>
        <v>45</v>
      </c>
      <c r="K21" s="33" t="n">
        <f aca="false">IF(OR(G21="",H21=0),"",I21/H21)</f>
        <v>0</v>
      </c>
    </row>
    <row r="22" customFormat="false" ht="15" hidden="false" customHeight="false" outlineLevel="0" collapsed="false">
      <c r="B22" s="30"/>
      <c r="C22" s="17"/>
      <c r="D22" s="17"/>
      <c r="E22" s="26"/>
      <c r="G22" s="11" t="str">
        <f aca="false">IF(Setup!E20="","",Setup!E20)</f>
        <v>Fun</v>
      </c>
      <c r="H22" s="22" t="n">
        <f aca="false">IF(G22="","",Setup!G20)</f>
        <v>100</v>
      </c>
      <c r="I22" s="22" t="n">
        <f aca="false">IF(G22="","",SUMIFS($E$7:$E$86,$D$7:$D$86,G22))</f>
        <v>0</v>
      </c>
      <c r="J22" s="22" t="n">
        <f aca="false">IF(G22="","",H22-I22)</f>
        <v>100</v>
      </c>
      <c r="K22" s="33" t="n">
        <f aca="false">IF(OR(G22="",H22=0),"",I22/H22)</f>
        <v>0</v>
      </c>
    </row>
    <row r="23" customFormat="false" ht="15" hidden="false" customHeight="false" outlineLevel="0" collapsed="false">
      <c r="B23" s="30"/>
      <c r="C23" s="17"/>
      <c r="D23" s="17"/>
      <c r="E23" s="26"/>
      <c r="G23" s="11" t="str">
        <f aca="false">IF(Setup!E21="","",Setup!E21)</f>
        <v>Gifts</v>
      </c>
      <c r="H23" s="22" t="n">
        <f aca="false">IF(G23="","",Setup!G21)</f>
        <v>40</v>
      </c>
      <c r="I23" s="22" t="n">
        <f aca="false">IF(G23="","",SUMIFS($E$7:$E$86,$D$7:$D$86,G23))</f>
        <v>0</v>
      </c>
      <c r="J23" s="22" t="n">
        <f aca="false">IF(G23="","",H23-I23)</f>
        <v>40</v>
      </c>
      <c r="K23" s="33" t="n">
        <f aca="false">IF(OR(G23="",H23=0),"",I23/H23)</f>
        <v>0</v>
      </c>
    </row>
    <row r="24" customFormat="false" ht="15" hidden="false" customHeight="false" outlineLevel="0" collapsed="false">
      <c r="B24" s="30"/>
      <c r="C24" s="17"/>
      <c r="D24" s="17"/>
      <c r="E24" s="26"/>
      <c r="G24" s="11" t="str">
        <f aca="false">IF(Setup!E22="","",Setup!E22)</f>
        <v>Personal care</v>
      </c>
      <c r="H24" s="22" t="n">
        <f aca="false">IF(G24="","",Setup!G22)</f>
        <v>50</v>
      </c>
      <c r="I24" s="22" t="n">
        <f aca="false">IF(G24="","",SUMIFS($E$7:$E$86,$D$7:$D$86,G24))</f>
        <v>0</v>
      </c>
      <c r="J24" s="22" t="n">
        <f aca="false">IF(G24="","",H24-I24)</f>
        <v>50</v>
      </c>
      <c r="K24" s="33" t="n">
        <f aca="false">IF(OR(G24="",H24=0),"",I24/H24)</f>
        <v>0</v>
      </c>
    </row>
    <row r="25" customFormat="false" ht="15" hidden="false" customHeight="false" outlineLevel="0" collapsed="false">
      <c r="B25" s="30"/>
      <c r="C25" s="17"/>
      <c r="D25" s="17"/>
      <c r="E25" s="26"/>
      <c r="G25" s="11" t="str">
        <f aca="false">IF(Setup!E23="","",Setup!E23)</f>
        <v>Emergency fund</v>
      </c>
      <c r="H25" s="22" t="n">
        <f aca="false">IF(G25="","",Setup!G23)</f>
        <v>200</v>
      </c>
      <c r="I25" s="22" t="n">
        <f aca="false">IF(G25="","",SUMIFS($E$7:$E$86,$D$7:$D$86,G25))</f>
        <v>0</v>
      </c>
      <c r="J25" s="22" t="n">
        <f aca="false">IF(G25="","",H25-I25)</f>
        <v>200</v>
      </c>
      <c r="K25" s="33" t="n">
        <f aca="false">IF(OR(G25="",H25=0),"",I25/H25)</f>
        <v>0</v>
      </c>
    </row>
    <row r="26" customFormat="false" ht="15" hidden="false" customHeight="false" outlineLevel="0" collapsed="false">
      <c r="B26" s="30"/>
      <c r="C26" s="17"/>
      <c r="D26" s="17"/>
      <c r="E26" s="26"/>
      <c r="G26" s="11" t="str">
        <f aca="false">IF(Setup!E24="","",Setup!E24)</f>
        <v>Sinking funds</v>
      </c>
      <c r="H26" s="22" t="n">
        <f aca="false">IF(G26="","",Setup!G24)</f>
        <v>100</v>
      </c>
      <c r="I26" s="22" t="n">
        <f aca="false">IF(G26="","",SUMIFS($E$7:$E$86,$D$7:$D$86,G26))</f>
        <v>0</v>
      </c>
      <c r="J26" s="22" t="n">
        <f aca="false">IF(G26="","",H26-I26)</f>
        <v>100</v>
      </c>
      <c r="K26" s="33" t="n">
        <f aca="false">IF(OR(G26="",H26=0),"",I26/H26)</f>
        <v>0</v>
      </c>
    </row>
    <row r="27" customFormat="false" ht="15" hidden="false" customHeight="false" outlineLevel="0" collapsed="false">
      <c r="B27" s="30"/>
      <c r="C27" s="17"/>
      <c r="D27" s="17"/>
      <c r="E27" s="26"/>
      <c r="G27" s="11" t="str">
        <f aca="false">IF(Setup!E25="","",Setup!E25)</f>
        <v>Retirement</v>
      </c>
      <c r="H27" s="22" t="n">
        <f aca="false">IF(G27="","",Setup!G25)</f>
        <v>150</v>
      </c>
      <c r="I27" s="22" t="n">
        <f aca="false">IF(G27="","",SUMIFS($E$7:$E$86,$D$7:$D$86,G27))</f>
        <v>0</v>
      </c>
      <c r="J27" s="22" t="n">
        <f aca="false">IF(G27="","",H27-I27)</f>
        <v>150</v>
      </c>
      <c r="K27" s="33" t="n">
        <f aca="false">IF(OR(G27="",H27=0),"",I27/H27)</f>
        <v>0</v>
      </c>
    </row>
    <row r="28" customFormat="false" ht="15" hidden="false" customHeight="false" outlineLevel="0" collapsed="false">
      <c r="B28" s="30"/>
      <c r="C28" s="17"/>
      <c r="D28" s="17"/>
      <c r="E28" s="26"/>
      <c r="G28" s="11" t="str">
        <f aca="false">IF(Setup!E26="","",Setup!E26)</f>
        <v>Credit card</v>
      </c>
      <c r="H28" s="22" t="n">
        <f aca="false">IF(G28="","",Setup!G26)</f>
        <v>150</v>
      </c>
      <c r="I28" s="22" t="n">
        <f aca="false">IF(G28="","",SUMIFS($E$7:$E$86,$D$7:$D$86,G28))</f>
        <v>0</v>
      </c>
      <c r="J28" s="22" t="n">
        <f aca="false">IF(G28="","",H28-I28)</f>
        <v>150</v>
      </c>
      <c r="K28" s="33" t="n">
        <f aca="false">IF(OR(G28="",H28=0),"",I28/H28)</f>
        <v>0</v>
      </c>
    </row>
    <row r="29" customFormat="false" ht="15" hidden="false" customHeight="false" outlineLevel="0" collapsed="false">
      <c r="B29" s="30"/>
      <c r="C29" s="17"/>
      <c r="D29" s="17"/>
      <c r="E29" s="26"/>
      <c r="G29" s="11" t="str">
        <f aca="false">IF(Setup!E27="","",Setup!E27)</f>
        <v>Student loan</v>
      </c>
      <c r="H29" s="22" t="n">
        <f aca="false">IF(G29="","",Setup!G27)</f>
        <v>180</v>
      </c>
      <c r="I29" s="22" t="n">
        <f aca="false">IF(G29="","",SUMIFS($E$7:$E$86,$D$7:$D$86,G29))</f>
        <v>0</v>
      </c>
      <c r="J29" s="22" t="n">
        <f aca="false">IF(G29="","",H29-I29)</f>
        <v>180</v>
      </c>
      <c r="K29" s="33" t="n">
        <f aca="false">IF(OR(G29="",H29=0),"",I29/H29)</f>
        <v>0</v>
      </c>
    </row>
    <row r="30" customFormat="false" ht="15" hidden="false" customHeight="false" outlineLevel="0" collapsed="false">
      <c r="B30" s="30"/>
      <c r="C30" s="17"/>
      <c r="D30" s="17"/>
      <c r="E30" s="26"/>
      <c r="G30" s="11" t="str">
        <f aca="false">IF(Setup!E28="","",Setup!E28)</f>
        <v/>
      </c>
      <c r="H30" s="22" t="str">
        <f aca="false">IF(G30="","",Setup!G28)</f>
        <v/>
      </c>
      <c r="I30" s="22" t="str">
        <f aca="false">IF(G30="","",SUMIFS($E$7:$E$86,$D$7:$D$86,G30))</f>
        <v/>
      </c>
      <c r="J30" s="22" t="str">
        <f aca="false">IF(G30="","",H30-I30)</f>
        <v/>
      </c>
      <c r="K30" s="33" t="str">
        <f aca="false">IF(OR(G30="",H30=0),"",I30/H30)</f>
        <v/>
      </c>
    </row>
    <row r="31" customFormat="false" ht="15" hidden="false" customHeight="false" outlineLevel="0" collapsed="false">
      <c r="B31" s="30"/>
      <c r="C31" s="17"/>
      <c r="D31" s="17"/>
      <c r="E31" s="26"/>
      <c r="G31" s="11" t="str">
        <f aca="false">IF(Setup!E29="","",Setup!E29)</f>
        <v/>
      </c>
      <c r="H31" s="22" t="str">
        <f aca="false">IF(G31="","",Setup!G29)</f>
        <v/>
      </c>
      <c r="I31" s="22" t="str">
        <f aca="false">IF(G31="","",SUMIFS($E$7:$E$86,$D$7:$D$86,G31))</f>
        <v/>
      </c>
      <c r="J31" s="22" t="str">
        <f aca="false">IF(G31="","",H31-I31)</f>
        <v/>
      </c>
      <c r="K31" s="33" t="str">
        <f aca="false">IF(OR(G31="",H31=0),"",I31/H31)</f>
        <v/>
      </c>
    </row>
    <row r="32" customFormat="false" ht="15" hidden="false" customHeight="false" outlineLevel="0" collapsed="false">
      <c r="B32" s="30"/>
      <c r="C32" s="17"/>
      <c r="D32" s="17"/>
      <c r="E32" s="26"/>
      <c r="G32" s="11" t="str">
        <f aca="false">IF(Setup!E30="","",Setup!E30)</f>
        <v/>
      </c>
      <c r="H32" s="22" t="str">
        <f aca="false">IF(G32="","",Setup!G30)</f>
        <v/>
      </c>
      <c r="I32" s="22" t="str">
        <f aca="false">IF(G32="","",SUMIFS($E$7:$E$86,$D$7:$D$86,G32))</f>
        <v/>
      </c>
      <c r="J32" s="22" t="str">
        <f aca="false">IF(G32="","",H32-I32)</f>
        <v/>
      </c>
      <c r="K32" s="33" t="str">
        <f aca="false">IF(OR(G32="",H32=0),"",I32/H32)</f>
        <v/>
      </c>
    </row>
    <row r="33" customFormat="false" ht="15" hidden="false" customHeight="false" outlineLevel="0" collapsed="false">
      <c r="B33" s="30"/>
      <c r="C33" s="17"/>
      <c r="D33" s="17"/>
      <c r="E33" s="26"/>
      <c r="G33" s="11" t="str">
        <f aca="false">IF(Setup!E31="","",Setup!E31)</f>
        <v/>
      </c>
      <c r="H33" s="22" t="str">
        <f aca="false">IF(G33="","",Setup!G31)</f>
        <v/>
      </c>
      <c r="I33" s="22" t="str">
        <f aca="false">IF(G33="","",SUMIFS($E$7:$E$86,$D$7:$D$86,G33))</f>
        <v/>
      </c>
      <c r="J33" s="22" t="str">
        <f aca="false">IF(G33="","",H33-I33)</f>
        <v/>
      </c>
      <c r="K33" s="33" t="str">
        <f aca="false">IF(OR(G33="",H33=0),"",I33/H33)</f>
        <v/>
      </c>
    </row>
    <row r="34" customFormat="false" ht="15" hidden="false" customHeight="false" outlineLevel="0" collapsed="false">
      <c r="B34" s="30"/>
      <c r="C34" s="17"/>
      <c r="D34" s="17"/>
      <c r="E34" s="26"/>
      <c r="G34" s="11" t="str">
        <f aca="false">IF(Setup!E32="","",Setup!E32)</f>
        <v/>
      </c>
      <c r="H34" s="22" t="str">
        <f aca="false">IF(G34="","",Setup!G32)</f>
        <v/>
      </c>
      <c r="I34" s="22" t="str">
        <f aca="false">IF(G34="","",SUMIFS($E$7:$E$86,$D$7:$D$86,G34))</f>
        <v/>
      </c>
      <c r="J34" s="22" t="str">
        <f aca="false">IF(G34="","",H34-I34)</f>
        <v/>
      </c>
      <c r="K34" s="33" t="str">
        <f aca="false">IF(OR(G34="",H34=0),"",I34/H34)</f>
        <v/>
      </c>
    </row>
    <row r="35" customFormat="false" ht="15" hidden="false" customHeight="false" outlineLevel="0" collapsed="false">
      <c r="B35" s="30"/>
      <c r="C35" s="17"/>
      <c r="D35" s="17"/>
      <c r="E35" s="26"/>
      <c r="G35" s="11" t="str">
        <f aca="false">IF(Setup!E33="","",Setup!E33)</f>
        <v/>
      </c>
      <c r="H35" s="22" t="str">
        <f aca="false">IF(G35="","",Setup!G33)</f>
        <v/>
      </c>
      <c r="I35" s="22" t="str">
        <f aca="false">IF(G35="","",SUMIFS($E$7:$E$86,$D$7:$D$86,G35))</f>
        <v/>
      </c>
      <c r="J35" s="22" t="str">
        <f aca="false">IF(G35="","",H35-I35)</f>
        <v/>
      </c>
      <c r="K35" s="33" t="str">
        <f aca="false">IF(OR(G35="",H35=0),"",I35/H35)</f>
        <v/>
      </c>
    </row>
    <row r="36" customFormat="false" ht="15" hidden="false" customHeight="false" outlineLevel="0" collapsed="false">
      <c r="B36" s="30"/>
      <c r="C36" s="17"/>
      <c r="D36" s="17"/>
      <c r="E36" s="26"/>
      <c r="G36" s="11" t="str">
        <f aca="false">IF(Setup!E34="","",Setup!E34)</f>
        <v/>
      </c>
      <c r="H36" s="22" t="str">
        <f aca="false">IF(G36="","",Setup!G34)</f>
        <v/>
      </c>
      <c r="I36" s="22" t="str">
        <f aca="false">IF(G36="","",SUMIFS($E$7:$E$86,$D$7:$D$86,G36))</f>
        <v/>
      </c>
      <c r="J36" s="22" t="str">
        <f aca="false">IF(G36="","",H36-I36)</f>
        <v/>
      </c>
      <c r="K36" s="33" t="str">
        <f aca="false">IF(OR(G36="",H36=0),"",I36/H36)</f>
        <v/>
      </c>
    </row>
    <row r="37" customFormat="false" ht="15" hidden="false" customHeight="false" outlineLevel="0" collapsed="false">
      <c r="B37" s="30"/>
      <c r="C37" s="17"/>
      <c r="D37" s="17"/>
      <c r="E37" s="26"/>
      <c r="G37" s="11" t="str">
        <f aca="false">IF(Setup!E35="","",Setup!E35)</f>
        <v/>
      </c>
      <c r="H37" s="22" t="str">
        <f aca="false">IF(G37="","",Setup!G35)</f>
        <v/>
      </c>
      <c r="I37" s="22" t="str">
        <f aca="false">IF(G37="","",SUMIFS($E$7:$E$86,$D$7:$D$86,G37))</f>
        <v/>
      </c>
      <c r="J37" s="22" t="str">
        <f aca="false">IF(G37="","",H37-I37)</f>
        <v/>
      </c>
      <c r="K37" s="33" t="str">
        <f aca="false">IF(OR(G37="",H37=0),"",I37/H37)</f>
        <v/>
      </c>
    </row>
    <row r="38" customFormat="false" ht="15" hidden="false" customHeight="false" outlineLevel="0" collapsed="false">
      <c r="B38" s="30"/>
      <c r="C38" s="17"/>
      <c r="D38" s="17"/>
      <c r="E38" s="26"/>
      <c r="G38" s="11" t="str">
        <f aca="false">IF(Setup!E36="","",Setup!E36)</f>
        <v/>
      </c>
      <c r="H38" s="22" t="str">
        <f aca="false">IF(G38="","",Setup!G36)</f>
        <v/>
      </c>
      <c r="I38" s="22" t="str">
        <f aca="false">IF(G38="","",SUMIFS($E$7:$E$86,$D$7:$D$86,G38))</f>
        <v/>
      </c>
      <c r="J38" s="22" t="str">
        <f aca="false">IF(G38="","",H38-I38)</f>
        <v/>
      </c>
      <c r="K38" s="33" t="str">
        <f aca="false">IF(OR(G38="",H38=0),"",I38/H38)</f>
        <v/>
      </c>
    </row>
    <row r="39" customFormat="false" ht="15" hidden="false" customHeight="false" outlineLevel="0" collapsed="false">
      <c r="B39" s="30"/>
      <c r="C39" s="17"/>
      <c r="D39" s="17"/>
      <c r="E39" s="26"/>
      <c r="G39" s="11" t="str">
        <f aca="false">IF(Setup!E37="","",Setup!E37)</f>
        <v/>
      </c>
      <c r="H39" s="22" t="str">
        <f aca="false">IF(G39="","",Setup!G37)</f>
        <v/>
      </c>
      <c r="I39" s="22" t="str">
        <f aca="false">IF(G39="","",SUMIFS($E$7:$E$86,$D$7:$D$86,G39))</f>
        <v/>
      </c>
      <c r="J39" s="22" t="str">
        <f aca="false">IF(G39="","",H39-I39)</f>
        <v/>
      </c>
      <c r="K39" s="33" t="str">
        <f aca="false">IF(OR(G39="",H39=0),"",I39/H39)</f>
        <v/>
      </c>
    </row>
    <row r="40" customFormat="false" ht="15" hidden="false" customHeight="false" outlineLevel="0" collapsed="false">
      <c r="B40" s="30"/>
      <c r="C40" s="17"/>
      <c r="D40" s="17"/>
      <c r="E40" s="26"/>
      <c r="G40" s="11" t="str">
        <f aca="false">IF(Setup!E38="","",Setup!E38)</f>
        <v/>
      </c>
      <c r="H40" s="22" t="str">
        <f aca="false">IF(G40="","",Setup!G38)</f>
        <v/>
      </c>
      <c r="I40" s="22" t="str">
        <f aca="false">IF(G40="","",SUMIFS($E$7:$E$86,$D$7:$D$86,G40))</f>
        <v/>
      </c>
      <c r="J40" s="22" t="str">
        <f aca="false">IF(G40="","",H40-I40)</f>
        <v/>
      </c>
      <c r="K40" s="33" t="str">
        <f aca="false">IF(OR(G40="",H40=0),"",I40/H40)</f>
        <v/>
      </c>
    </row>
    <row r="41" customFormat="false" ht="15" hidden="false" customHeight="false" outlineLevel="0" collapsed="false">
      <c r="B41" s="30"/>
      <c r="C41" s="17"/>
      <c r="D41" s="17"/>
      <c r="E41" s="26"/>
      <c r="G41" s="11" t="str">
        <f aca="false">IF(Setup!E39="","",Setup!E39)</f>
        <v/>
      </c>
      <c r="H41" s="22" t="str">
        <f aca="false">IF(G41="","",Setup!G39)</f>
        <v/>
      </c>
      <c r="I41" s="22" t="str">
        <f aca="false">IF(G41="","",SUMIFS($E$7:$E$86,$D$7:$D$86,G41))</f>
        <v/>
      </c>
      <c r="J41" s="22" t="str">
        <f aca="false">IF(G41="","",H41-I41)</f>
        <v/>
      </c>
      <c r="K41" s="33" t="str">
        <f aca="false">IF(OR(G41="",H41=0),"",I41/H41)</f>
        <v/>
      </c>
    </row>
    <row r="42" customFormat="false" ht="15" hidden="false" customHeight="false" outlineLevel="0" collapsed="false">
      <c r="B42" s="30"/>
      <c r="C42" s="17"/>
      <c r="D42" s="17"/>
      <c r="E42" s="26"/>
    </row>
    <row r="43" customFormat="false" ht="15" hidden="false" customHeight="false" outlineLevel="0" collapsed="false">
      <c r="B43" s="30"/>
      <c r="C43" s="17"/>
      <c r="D43" s="17"/>
      <c r="E43" s="26"/>
    </row>
    <row r="44" customFormat="false" ht="15" hidden="false" customHeight="false" outlineLevel="0" collapsed="false">
      <c r="B44" s="30"/>
      <c r="C44" s="17"/>
      <c r="D44" s="17"/>
      <c r="E44" s="26"/>
    </row>
    <row r="45" customFormat="false" ht="15" hidden="false" customHeight="false" outlineLevel="0" collapsed="false">
      <c r="B45" s="30"/>
      <c r="C45" s="17"/>
      <c r="D45" s="17"/>
      <c r="E45" s="26"/>
    </row>
    <row r="46" customFormat="false" ht="15" hidden="false" customHeight="false" outlineLevel="0" collapsed="false">
      <c r="B46" s="30"/>
      <c r="C46" s="17"/>
      <c r="D46" s="17"/>
      <c r="E46" s="26"/>
    </row>
    <row r="47" customFormat="false" ht="15" hidden="false" customHeight="false" outlineLevel="0" collapsed="false">
      <c r="B47" s="30"/>
      <c r="C47" s="17"/>
      <c r="D47" s="17"/>
      <c r="E47" s="26"/>
    </row>
    <row r="48" customFormat="false" ht="15" hidden="false" customHeight="false" outlineLevel="0" collapsed="false">
      <c r="B48" s="30"/>
      <c r="C48" s="17"/>
      <c r="D48" s="17"/>
      <c r="E48" s="26"/>
    </row>
    <row r="49" customFormat="false" ht="15" hidden="false" customHeight="false" outlineLevel="0" collapsed="false">
      <c r="B49" s="30"/>
      <c r="C49" s="17"/>
      <c r="D49" s="17"/>
      <c r="E49" s="26"/>
    </row>
    <row r="50" customFormat="false" ht="15" hidden="false" customHeight="false" outlineLevel="0" collapsed="false">
      <c r="B50" s="30"/>
      <c r="C50" s="17"/>
      <c r="D50" s="17"/>
      <c r="E50" s="26"/>
    </row>
    <row r="51" customFormat="false" ht="15" hidden="false" customHeight="false" outlineLevel="0" collapsed="false">
      <c r="B51" s="30"/>
      <c r="C51" s="17"/>
      <c r="D51" s="17"/>
      <c r="E51" s="26"/>
    </row>
    <row r="52" customFormat="false" ht="15" hidden="false" customHeight="false" outlineLevel="0" collapsed="false">
      <c r="B52" s="30"/>
      <c r="C52" s="17"/>
      <c r="D52" s="17"/>
      <c r="E52" s="26"/>
    </row>
    <row r="53" customFormat="false" ht="15" hidden="false" customHeight="false" outlineLevel="0" collapsed="false">
      <c r="B53" s="30"/>
      <c r="C53" s="17"/>
      <c r="D53" s="17"/>
      <c r="E53" s="26"/>
    </row>
    <row r="54" customFormat="false" ht="15" hidden="false" customHeight="false" outlineLevel="0" collapsed="false">
      <c r="B54" s="30"/>
      <c r="C54" s="17"/>
      <c r="D54" s="17"/>
      <c r="E54" s="26"/>
    </row>
    <row r="55" customFormat="false" ht="15" hidden="false" customHeight="false" outlineLevel="0" collapsed="false">
      <c r="B55" s="30"/>
      <c r="C55" s="17"/>
      <c r="D55" s="17"/>
      <c r="E55" s="26"/>
    </row>
    <row r="56" customFormat="false" ht="15" hidden="false" customHeight="false" outlineLevel="0" collapsed="false">
      <c r="B56" s="30"/>
      <c r="C56" s="17"/>
      <c r="D56" s="17"/>
      <c r="E56" s="26"/>
    </row>
    <row r="57" customFormat="false" ht="15" hidden="false" customHeight="false" outlineLevel="0" collapsed="false">
      <c r="B57" s="30"/>
      <c r="C57" s="17"/>
      <c r="D57" s="17"/>
      <c r="E57" s="26"/>
    </row>
    <row r="58" customFormat="false" ht="15" hidden="false" customHeight="false" outlineLevel="0" collapsed="false">
      <c r="B58" s="30"/>
      <c r="C58" s="17"/>
      <c r="D58" s="17"/>
      <c r="E58" s="26"/>
    </row>
    <row r="59" customFormat="false" ht="15" hidden="false" customHeight="false" outlineLevel="0" collapsed="false">
      <c r="B59" s="30"/>
      <c r="C59" s="17"/>
      <c r="D59" s="17"/>
      <c r="E59" s="26"/>
    </row>
    <row r="60" customFormat="false" ht="15" hidden="false" customHeight="false" outlineLevel="0" collapsed="false">
      <c r="B60" s="30"/>
      <c r="C60" s="17"/>
      <c r="D60" s="17"/>
      <c r="E60" s="26"/>
    </row>
    <row r="61" customFormat="false" ht="15" hidden="false" customHeight="false" outlineLevel="0" collapsed="false">
      <c r="B61" s="30"/>
      <c r="C61" s="17"/>
      <c r="D61" s="17"/>
      <c r="E61" s="26"/>
    </row>
    <row r="62" customFormat="false" ht="15" hidden="false" customHeight="false" outlineLevel="0" collapsed="false">
      <c r="B62" s="30"/>
      <c r="C62" s="17"/>
      <c r="D62" s="17"/>
      <c r="E62" s="26"/>
    </row>
    <row r="63" customFormat="false" ht="15" hidden="false" customHeight="false" outlineLevel="0" collapsed="false">
      <c r="B63" s="30"/>
      <c r="C63" s="17"/>
      <c r="D63" s="17"/>
      <c r="E63" s="26"/>
    </row>
    <row r="64" customFormat="false" ht="15" hidden="false" customHeight="false" outlineLevel="0" collapsed="false">
      <c r="B64" s="30"/>
      <c r="C64" s="17"/>
      <c r="D64" s="17"/>
      <c r="E64" s="26"/>
    </row>
    <row r="65" customFormat="false" ht="15" hidden="false" customHeight="false" outlineLevel="0" collapsed="false">
      <c r="B65" s="30"/>
      <c r="C65" s="17"/>
      <c r="D65" s="17"/>
      <c r="E65" s="26"/>
    </row>
    <row r="66" customFormat="false" ht="15" hidden="false" customHeight="false" outlineLevel="0" collapsed="false">
      <c r="B66" s="30"/>
      <c r="C66" s="17"/>
      <c r="D66" s="17"/>
      <c r="E66" s="26"/>
    </row>
    <row r="67" customFormat="false" ht="15" hidden="false" customHeight="false" outlineLevel="0" collapsed="false">
      <c r="B67" s="30"/>
      <c r="C67" s="17"/>
      <c r="D67" s="17"/>
      <c r="E67" s="26"/>
    </row>
    <row r="68" customFormat="false" ht="15" hidden="false" customHeight="false" outlineLevel="0" collapsed="false">
      <c r="B68" s="30"/>
      <c r="C68" s="17"/>
      <c r="D68" s="17"/>
      <c r="E68" s="26"/>
    </row>
    <row r="69" customFormat="false" ht="15" hidden="false" customHeight="false" outlineLevel="0" collapsed="false">
      <c r="B69" s="30"/>
      <c r="C69" s="17"/>
      <c r="D69" s="17"/>
      <c r="E69" s="26"/>
    </row>
    <row r="70" customFormat="false" ht="15" hidden="false" customHeight="false" outlineLevel="0" collapsed="false">
      <c r="B70" s="30"/>
      <c r="C70" s="17"/>
      <c r="D70" s="17"/>
      <c r="E70" s="26"/>
    </row>
    <row r="71" customFormat="false" ht="15" hidden="false" customHeight="false" outlineLevel="0" collapsed="false">
      <c r="B71" s="30"/>
      <c r="C71" s="17"/>
      <c r="D71" s="17"/>
      <c r="E71" s="26"/>
    </row>
    <row r="72" customFormat="false" ht="15" hidden="false" customHeight="false" outlineLevel="0" collapsed="false">
      <c r="B72" s="30"/>
      <c r="C72" s="17"/>
      <c r="D72" s="17"/>
      <c r="E72" s="26"/>
    </row>
    <row r="73" customFormat="false" ht="15" hidden="false" customHeight="false" outlineLevel="0" collapsed="false">
      <c r="B73" s="30"/>
      <c r="C73" s="17"/>
      <c r="D73" s="17"/>
      <c r="E73" s="26"/>
    </row>
    <row r="74" customFormat="false" ht="15" hidden="false" customHeight="false" outlineLevel="0" collapsed="false">
      <c r="B74" s="30"/>
      <c r="C74" s="17"/>
      <c r="D74" s="17"/>
      <c r="E74" s="26"/>
    </row>
    <row r="75" customFormat="false" ht="15" hidden="false" customHeight="false" outlineLevel="0" collapsed="false">
      <c r="B75" s="30"/>
      <c r="C75" s="17"/>
      <c r="D75" s="17"/>
      <c r="E75" s="26"/>
    </row>
    <row r="76" customFormat="false" ht="15" hidden="false" customHeight="false" outlineLevel="0" collapsed="false">
      <c r="B76" s="30"/>
      <c r="C76" s="17"/>
      <c r="D76" s="17"/>
      <c r="E76" s="26"/>
    </row>
    <row r="77" customFormat="false" ht="15" hidden="false" customHeight="false" outlineLevel="0" collapsed="false">
      <c r="B77" s="30"/>
      <c r="C77" s="17"/>
      <c r="D77" s="17"/>
      <c r="E77" s="26"/>
    </row>
    <row r="78" customFormat="false" ht="15" hidden="false" customHeight="false" outlineLevel="0" collapsed="false">
      <c r="B78" s="30"/>
      <c r="C78" s="17"/>
      <c r="D78" s="17"/>
      <c r="E78" s="26"/>
    </row>
    <row r="79" customFormat="false" ht="15" hidden="false" customHeight="false" outlineLevel="0" collapsed="false">
      <c r="B79" s="30"/>
      <c r="C79" s="17"/>
      <c r="D79" s="17"/>
      <c r="E79" s="26"/>
    </row>
    <row r="80" customFormat="false" ht="15" hidden="false" customHeight="false" outlineLevel="0" collapsed="false">
      <c r="B80" s="30"/>
      <c r="C80" s="17"/>
      <c r="D80" s="17"/>
      <c r="E80" s="26"/>
    </row>
    <row r="81" customFormat="false" ht="15" hidden="false" customHeight="false" outlineLevel="0" collapsed="false">
      <c r="B81" s="30"/>
      <c r="C81" s="17"/>
      <c r="D81" s="17"/>
      <c r="E81" s="26"/>
    </row>
    <row r="82" customFormat="false" ht="15" hidden="false" customHeight="false" outlineLevel="0" collapsed="false">
      <c r="B82" s="30"/>
      <c r="C82" s="17"/>
      <c r="D82" s="17"/>
      <c r="E82" s="26"/>
    </row>
    <row r="83" customFormat="false" ht="15" hidden="false" customHeight="false" outlineLevel="0" collapsed="false">
      <c r="B83" s="30"/>
      <c r="C83" s="17"/>
      <c r="D83" s="17"/>
      <c r="E83" s="26"/>
    </row>
    <row r="84" customFormat="false" ht="15" hidden="false" customHeight="false" outlineLevel="0" collapsed="false">
      <c r="B84" s="30"/>
      <c r="C84" s="17"/>
      <c r="D84" s="17"/>
      <c r="E84" s="26"/>
    </row>
    <row r="85" customFormat="false" ht="15" hidden="false" customHeight="false" outlineLevel="0" collapsed="false">
      <c r="B85" s="30"/>
      <c r="C85" s="17"/>
      <c r="D85" s="17"/>
      <c r="E85" s="26"/>
    </row>
    <row r="86" customFormat="false" ht="15" hidden="false" customHeight="false" outlineLevel="0" collapsed="false">
      <c r="B86" s="30"/>
      <c r="C86" s="17"/>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K12:K41">
    <cfRule type="dataBar" priority="4">
      <dataBar showValue="1" minLength="10" maxLength="90">
        <cfvo type="num" val="0"/>
        <cfvo type="num" val="1"/>
        <color rgb="FF2F6F5E"/>
      </dataBar>
      <extLst>
        <ext xmlns:x14="http://schemas.microsoft.com/office/spreadsheetml/2009/9/main" uri="{B025F937-C7B1-47D3-B67F-A62EFF666E3E}">
          <x14:id>{A4C39EEF-21A2-4BBE-B370-BAD8FB4D942F}</x14:id>
        </ext>
      </extLst>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r:id="rId1" location="'Start%20here'!A1" display="Start here"/>
    <hyperlink ref="C4" r:id="rId2" location="'Dashboard'!A1" display="Dashboard"/>
    <hyperlink ref="D4" r:id="rId3" location="'Setup'!A1" display="Setup"/>
    <hyperlink ref="E4" r:id="rId4" location="'January'!A1" display="Months"/>
    <hyperlink ref="F4" r:id="rId5" location="'Bills'!A1" display="Bills"/>
    <hyperlink ref="G4" r:id="rId6" location="'Paycheck%20plan'!A1" display="Paycheck"/>
    <hyperlink ref="H4" r:id="rId7" location="'Debt%20payoff'!A1" display="Debt"/>
    <hyperlink ref="I4" r:id="rId8" location="'Savings%20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A4C39EEF-21A2-4BBE-B370-BAD8FB4D942F}">
            <x14:dataBar minLength="10" maxLength="90" axisPosition="none" gradient="true">
              <x14:cfvo type="num">
                <xm:f>0</xm:f>
              </x14:cfvo>
              <x14:cfvo type="num">
                <xm:f>1</xm:f>
              </x14:cfvo>
              <x14:negativeFillColor rgb="FF2F6F5E"/>
              <x14:axisColor rgb="FF000000"/>
            </x14:dataBar>
          </x14:cfRule>
          <xm:sqref>K12:K41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K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10"/>
    <col collapsed="false" customWidth="true" hidden="false" outlineLevel="0" max="29" min="12" style="0" width="14"/>
  </cols>
  <sheetData>
    <row r="2" customFormat="false" ht="33.75" hidden="false" customHeight="true" outlineLevel="0" collapsed="false">
      <c r="B2" s="1" t="s">
        <v>34</v>
      </c>
    </row>
    <row r="3" customFormat="false" ht="15" hidden="false" customHeight="false" outlineLevel="0" collapsed="false">
      <c r="B3" s="2" t="s">
        <v>99</v>
      </c>
    </row>
    <row r="4" customFormat="false" ht="15" hidden="false" customHeight="false" outlineLevel="0" collapsed="false">
      <c r="B4" s="3" t="s">
        <v>2</v>
      </c>
      <c r="C4" s="3" t="s">
        <v>3</v>
      </c>
      <c r="D4" s="3" t="s">
        <v>4</v>
      </c>
      <c r="E4" s="3" t="s">
        <v>5</v>
      </c>
      <c r="F4" s="3" t="s">
        <v>6</v>
      </c>
      <c r="G4" s="3" t="s">
        <v>7</v>
      </c>
      <c r="H4" s="3" t="s">
        <v>8</v>
      </c>
      <c r="I4" s="3" t="s">
        <v>9</v>
      </c>
    </row>
    <row r="6" customFormat="false" ht="21.75" hidden="false" customHeight="true" outlineLevel="0" collapsed="false">
      <c r="B6" s="10" t="s">
        <v>100</v>
      </c>
      <c r="C6" s="10" t="s">
        <v>101</v>
      </c>
      <c r="D6" s="10" t="s">
        <v>64</v>
      </c>
      <c r="E6" s="10" t="s">
        <v>102</v>
      </c>
      <c r="G6" s="27" t="s">
        <v>103</v>
      </c>
      <c r="H6" s="28" t="n">
        <f aca="false">Setup!$C$18</f>
        <v>3900</v>
      </c>
      <c r="I6" s="29" t="s">
        <v>104</v>
      </c>
    </row>
    <row r="7" customFormat="false" ht="15" hidden="false" customHeight="false" outlineLevel="0" collapsed="false">
      <c r="B7" s="30"/>
      <c r="C7" s="17"/>
      <c r="D7" s="17"/>
      <c r="E7" s="26"/>
      <c r="G7" s="31" t="s">
        <v>61</v>
      </c>
      <c r="H7" s="32" t="n">
        <f aca="false">SUM(E7:E86)</f>
        <v>0</v>
      </c>
    </row>
    <row r="8" customFormat="false" ht="15" hidden="false" customHeight="false" outlineLevel="0" collapsed="false">
      <c r="B8" s="30"/>
      <c r="C8" s="17"/>
      <c r="D8" s="17"/>
      <c r="E8" s="26"/>
      <c r="G8" s="31" t="s">
        <v>62</v>
      </c>
      <c r="H8" s="32" t="n">
        <f aca="false">H6-H7</f>
        <v>3900</v>
      </c>
    </row>
    <row r="9" customFormat="false" ht="15" hidden="false" customHeight="false" outlineLevel="0" collapsed="false">
      <c r="B9" s="30"/>
      <c r="C9" s="17"/>
      <c r="D9" s="17"/>
      <c r="E9" s="26"/>
      <c r="G9" s="31" t="s">
        <v>108</v>
      </c>
      <c r="H9" s="32" t="n">
        <f aca="false">SUMPRODUCT(SUMIFS($E$7:$E$86,$D$7:$D$86,Setup!$E$10:$E$39)*((Setup!$F$10:$F$39="Savings")+(Setup!$F$10:$F$39="Debt")))</f>
        <v>0</v>
      </c>
    </row>
    <row r="10" customFormat="false" ht="15" hidden="false" customHeight="false" outlineLevel="0" collapsed="false">
      <c r="B10" s="30"/>
      <c r="C10" s="17"/>
      <c r="D10" s="17"/>
      <c r="E10" s="26"/>
    </row>
    <row r="11" customFormat="false" ht="21.75" hidden="false" customHeight="true" outlineLevel="0" collapsed="false">
      <c r="B11" s="30"/>
      <c r="C11" s="17"/>
      <c r="D11" s="17"/>
      <c r="E11" s="26"/>
      <c r="G11" s="10" t="s">
        <v>64</v>
      </c>
      <c r="H11" s="10" t="s">
        <v>110</v>
      </c>
      <c r="I11" s="10" t="s">
        <v>61</v>
      </c>
      <c r="J11" s="10" t="s">
        <v>111</v>
      </c>
      <c r="K11" s="10" t="s">
        <v>112</v>
      </c>
    </row>
    <row r="12" customFormat="false" ht="15" hidden="false" customHeight="false" outlineLevel="0" collapsed="false">
      <c r="B12" s="30"/>
      <c r="C12" s="17"/>
      <c r="D12" s="17"/>
      <c r="E12" s="26"/>
      <c r="G12" s="11" t="str">
        <f aca="false">IF(Setup!E10="","",Setup!E10)</f>
        <v>Rent or mortgage</v>
      </c>
      <c r="H12" s="22" t="n">
        <f aca="false">IF(G12="","",Setup!G10)</f>
        <v>1400</v>
      </c>
      <c r="I12" s="22" t="n">
        <f aca="false">IF(G12="","",SUMIFS($E$7:$E$86,$D$7:$D$86,G12))</f>
        <v>0</v>
      </c>
      <c r="J12" s="22" t="n">
        <f aca="false">IF(G12="","",H12-I12)</f>
        <v>1400</v>
      </c>
      <c r="K12" s="33" t="n">
        <f aca="false">IF(OR(G12="",H12=0),"",I12/H12)</f>
        <v>0</v>
      </c>
    </row>
    <row r="13" customFormat="false" ht="15" hidden="false" customHeight="false" outlineLevel="0" collapsed="false">
      <c r="B13" s="30"/>
      <c r="C13" s="17"/>
      <c r="D13" s="17"/>
      <c r="E13" s="26"/>
      <c r="G13" s="11" t="str">
        <f aca="false">IF(Setup!E11="","",Setup!E11)</f>
        <v>Utilities</v>
      </c>
      <c r="H13" s="22" t="n">
        <f aca="false">IF(G13="","",Setup!G11)</f>
        <v>180</v>
      </c>
      <c r="I13" s="22" t="n">
        <f aca="false">IF(G13="","",SUMIFS($E$7:$E$86,$D$7:$D$86,G13))</f>
        <v>0</v>
      </c>
      <c r="J13" s="22" t="n">
        <f aca="false">IF(G13="","",H13-I13)</f>
        <v>180</v>
      </c>
      <c r="K13" s="33" t="n">
        <f aca="false">IF(OR(G13="",H13=0),"",I13/H13)</f>
        <v>0</v>
      </c>
    </row>
    <row r="14" customFormat="false" ht="15" hidden="false" customHeight="false" outlineLevel="0" collapsed="false">
      <c r="B14" s="30"/>
      <c r="C14" s="17"/>
      <c r="D14" s="17"/>
      <c r="E14" s="26"/>
      <c r="G14" s="11" t="str">
        <f aca="false">IF(Setup!E12="","",Setup!E12)</f>
        <v>Groceries</v>
      </c>
      <c r="H14" s="22" t="n">
        <f aca="false">IF(G14="","",Setup!G12)</f>
        <v>500</v>
      </c>
      <c r="I14" s="22" t="n">
        <f aca="false">IF(G14="","",SUMIFS($E$7:$E$86,$D$7:$D$86,G14))</f>
        <v>0</v>
      </c>
      <c r="J14" s="22" t="n">
        <f aca="false">IF(G14="","",H14-I14)</f>
        <v>500</v>
      </c>
      <c r="K14" s="33" t="n">
        <f aca="false">IF(OR(G14="",H14=0),"",I14/H14)</f>
        <v>0</v>
      </c>
    </row>
    <row r="15" customFormat="false" ht="15" hidden="false" customHeight="false" outlineLevel="0" collapsed="false">
      <c r="B15" s="30"/>
      <c r="C15" s="17"/>
      <c r="D15" s="17"/>
      <c r="E15" s="26"/>
      <c r="G15" s="11" t="str">
        <f aca="false">IF(Setup!E13="","",Setup!E13)</f>
        <v>Transport</v>
      </c>
      <c r="H15" s="22" t="n">
        <f aca="false">IF(G15="","",Setup!G13)</f>
        <v>220</v>
      </c>
      <c r="I15" s="22" t="n">
        <f aca="false">IF(G15="","",SUMIFS($E$7:$E$86,$D$7:$D$86,G15))</f>
        <v>0</v>
      </c>
      <c r="J15" s="22" t="n">
        <f aca="false">IF(G15="","",H15-I15)</f>
        <v>220</v>
      </c>
      <c r="K15" s="33" t="n">
        <f aca="false">IF(OR(G15="",H15=0),"",I15/H15)</f>
        <v>0</v>
      </c>
    </row>
    <row r="16" customFormat="false" ht="15" hidden="false" customHeight="false" outlineLevel="0" collapsed="false">
      <c r="B16" s="30"/>
      <c r="C16" s="17"/>
      <c r="D16" s="17"/>
      <c r="E16" s="26"/>
      <c r="G16" s="11" t="str">
        <f aca="false">IF(Setup!E14="","",Setup!E14)</f>
        <v>Insurance</v>
      </c>
      <c r="H16" s="22" t="n">
        <f aca="false">IF(G16="","",Setup!G14)</f>
        <v>160</v>
      </c>
      <c r="I16" s="22" t="n">
        <f aca="false">IF(G16="","",SUMIFS($E$7:$E$86,$D$7:$D$86,G16))</f>
        <v>0</v>
      </c>
      <c r="J16" s="22" t="n">
        <f aca="false">IF(G16="","",H16-I16)</f>
        <v>160</v>
      </c>
      <c r="K16" s="33" t="n">
        <f aca="false">IF(OR(G16="",H16=0),"",I16/H16)</f>
        <v>0</v>
      </c>
    </row>
    <row r="17" customFormat="false" ht="15" hidden="false" customHeight="false" outlineLevel="0" collapsed="false">
      <c r="B17" s="30"/>
      <c r="C17" s="17"/>
      <c r="D17" s="17"/>
      <c r="E17" s="26"/>
      <c r="G17" s="11" t="str">
        <f aca="false">IF(Setup!E15="","",Setup!E15)</f>
        <v>Phone and internet</v>
      </c>
      <c r="H17" s="22" t="n">
        <f aca="false">IF(G17="","",Setup!G15)</f>
        <v>95</v>
      </c>
      <c r="I17" s="22" t="n">
        <f aca="false">IF(G17="","",SUMIFS($E$7:$E$86,$D$7:$D$86,G17))</f>
        <v>0</v>
      </c>
      <c r="J17" s="22" t="n">
        <f aca="false">IF(G17="","",H17-I17)</f>
        <v>95</v>
      </c>
      <c r="K17" s="33" t="n">
        <f aca="false">IF(OR(G17="",H17=0),"",I17/H17)</f>
        <v>0</v>
      </c>
    </row>
    <row r="18" customFormat="false" ht="15" hidden="false" customHeight="false" outlineLevel="0" collapsed="false">
      <c r="B18" s="30"/>
      <c r="C18" s="17"/>
      <c r="D18" s="17"/>
      <c r="E18" s="26"/>
      <c r="G18" s="11" t="str">
        <f aca="false">IF(Setup!E16="","",Setup!E16)</f>
        <v>Medical</v>
      </c>
      <c r="H18" s="22" t="n">
        <f aca="false">IF(G18="","",Setup!G16)</f>
        <v>60</v>
      </c>
      <c r="I18" s="22" t="n">
        <f aca="false">IF(G18="","",SUMIFS($E$7:$E$86,$D$7:$D$86,G18))</f>
        <v>0</v>
      </c>
      <c r="J18" s="22" t="n">
        <f aca="false">IF(G18="","",H18-I18)</f>
        <v>60</v>
      </c>
      <c r="K18" s="33" t="n">
        <f aca="false">IF(OR(G18="",H18=0),"",I18/H18)</f>
        <v>0</v>
      </c>
    </row>
    <row r="19" customFormat="false" ht="15" hidden="false" customHeight="false" outlineLevel="0" collapsed="false">
      <c r="B19" s="30"/>
      <c r="C19" s="17"/>
      <c r="D19" s="17"/>
      <c r="E19" s="26"/>
      <c r="G19" s="11" t="str">
        <f aca="false">IF(Setup!E17="","",Setup!E17)</f>
        <v>Eating out</v>
      </c>
      <c r="H19" s="22" t="n">
        <f aca="false">IF(G19="","",Setup!G17)</f>
        <v>150</v>
      </c>
      <c r="I19" s="22" t="n">
        <f aca="false">IF(G19="","",SUMIFS($E$7:$E$86,$D$7:$D$86,G19))</f>
        <v>0</v>
      </c>
      <c r="J19" s="22" t="n">
        <f aca="false">IF(G19="","",H19-I19)</f>
        <v>150</v>
      </c>
      <c r="K19" s="33" t="n">
        <f aca="false">IF(OR(G19="",H19=0),"",I19/H19)</f>
        <v>0</v>
      </c>
    </row>
    <row r="20" customFormat="false" ht="15" hidden="false" customHeight="false" outlineLevel="0" collapsed="false">
      <c r="B20" s="30"/>
      <c r="C20" s="17"/>
      <c r="D20" s="17"/>
      <c r="E20" s="26"/>
      <c r="G20" s="11" t="str">
        <f aca="false">IF(Setup!E18="","",Setup!E18)</f>
        <v>Shopping</v>
      </c>
      <c r="H20" s="22" t="n">
        <f aca="false">IF(G20="","",Setup!G18)</f>
        <v>120</v>
      </c>
      <c r="I20" s="22" t="n">
        <f aca="false">IF(G20="","",SUMIFS($E$7:$E$86,$D$7:$D$86,G20))</f>
        <v>0</v>
      </c>
      <c r="J20" s="22" t="n">
        <f aca="false">IF(G20="","",H20-I20)</f>
        <v>120</v>
      </c>
      <c r="K20" s="33" t="n">
        <f aca="false">IF(OR(G20="",H20=0),"",I20/H20)</f>
        <v>0</v>
      </c>
    </row>
    <row r="21" customFormat="false" ht="15" hidden="false" customHeight="false" outlineLevel="0" collapsed="false">
      <c r="B21" s="30"/>
      <c r="C21" s="17"/>
      <c r="D21" s="17"/>
      <c r="E21" s="26"/>
      <c r="G21" s="11" t="str">
        <f aca="false">IF(Setup!E19="","",Setup!E19)</f>
        <v>Subscriptions</v>
      </c>
      <c r="H21" s="22" t="n">
        <f aca="false">IF(G21="","",Setup!G19)</f>
        <v>45</v>
      </c>
      <c r="I21" s="22" t="n">
        <f aca="false">IF(G21="","",SUMIFS($E$7:$E$86,$D$7:$D$86,G21))</f>
        <v>0</v>
      </c>
      <c r="J21" s="22" t="n">
        <f aca="false">IF(G21="","",H21-I21)</f>
        <v>45</v>
      </c>
      <c r="K21" s="33" t="n">
        <f aca="false">IF(OR(G21="",H21=0),"",I21/H21)</f>
        <v>0</v>
      </c>
    </row>
    <row r="22" customFormat="false" ht="15" hidden="false" customHeight="false" outlineLevel="0" collapsed="false">
      <c r="B22" s="30"/>
      <c r="C22" s="17"/>
      <c r="D22" s="17"/>
      <c r="E22" s="26"/>
      <c r="G22" s="11" t="str">
        <f aca="false">IF(Setup!E20="","",Setup!E20)</f>
        <v>Fun</v>
      </c>
      <c r="H22" s="22" t="n">
        <f aca="false">IF(G22="","",Setup!G20)</f>
        <v>100</v>
      </c>
      <c r="I22" s="22" t="n">
        <f aca="false">IF(G22="","",SUMIFS($E$7:$E$86,$D$7:$D$86,G22))</f>
        <v>0</v>
      </c>
      <c r="J22" s="22" t="n">
        <f aca="false">IF(G22="","",H22-I22)</f>
        <v>100</v>
      </c>
      <c r="K22" s="33" t="n">
        <f aca="false">IF(OR(G22="",H22=0),"",I22/H22)</f>
        <v>0</v>
      </c>
    </row>
    <row r="23" customFormat="false" ht="15" hidden="false" customHeight="false" outlineLevel="0" collapsed="false">
      <c r="B23" s="30"/>
      <c r="C23" s="17"/>
      <c r="D23" s="17"/>
      <c r="E23" s="26"/>
      <c r="G23" s="11" t="str">
        <f aca="false">IF(Setup!E21="","",Setup!E21)</f>
        <v>Gifts</v>
      </c>
      <c r="H23" s="22" t="n">
        <f aca="false">IF(G23="","",Setup!G21)</f>
        <v>40</v>
      </c>
      <c r="I23" s="22" t="n">
        <f aca="false">IF(G23="","",SUMIFS($E$7:$E$86,$D$7:$D$86,G23))</f>
        <v>0</v>
      </c>
      <c r="J23" s="22" t="n">
        <f aca="false">IF(G23="","",H23-I23)</f>
        <v>40</v>
      </c>
      <c r="K23" s="33" t="n">
        <f aca="false">IF(OR(G23="",H23=0),"",I23/H23)</f>
        <v>0</v>
      </c>
    </row>
    <row r="24" customFormat="false" ht="15" hidden="false" customHeight="false" outlineLevel="0" collapsed="false">
      <c r="B24" s="30"/>
      <c r="C24" s="17"/>
      <c r="D24" s="17"/>
      <c r="E24" s="26"/>
      <c r="G24" s="11" t="str">
        <f aca="false">IF(Setup!E22="","",Setup!E22)</f>
        <v>Personal care</v>
      </c>
      <c r="H24" s="22" t="n">
        <f aca="false">IF(G24="","",Setup!G22)</f>
        <v>50</v>
      </c>
      <c r="I24" s="22" t="n">
        <f aca="false">IF(G24="","",SUMIFS($E$7:$E$86,$D$7:$D$86,G24))</f>
        <v>0</v>
      </c>
      <c r="J24" s="22" t="n">
        <f aca="false">IF(G24="","",H24-I24)</f>
        <v>50</v>
      </c>
      <c r="K24" s="33" t="n">
        <f aca="false">IF(OR(G24="",H24=0),"",I24/H24)</f>
        <v>0</v>
      </c>
    </row>
    <row r="25" customFormat="false" ht="15" hidden="false" customHeight="false" outlineLevel="0" collapsed="false">
      <c r="B25" s="30"/>
      <c r="C25" s="17"/>
      <c r="D25" s="17"/>
      <c r="E25" s="26"/>
      <c r="G25" s="11" t="str">
        <f aca="false">IF(Setup!E23="","",Setup!E23)</f>
        <v>Emergency fund</v>
      </c>
      <c r="H25" s="22" t="n">
        <f aca="false">IF(G25="","",Setup!G23)</f>
        <v>200</v>
      </c>
      <c r="I25" s="22" t="n">
        <f aca="false">IF(G25="","",SUMIFS($E$7:$E$86,$D$7:$D$86,G25))</f>
        <v>0</v>
      </c>
      <c r="J25" s="22" t="n">
        <f aca="false">IF(G25="","",H25-I25)</f>
        <v>200</v>
      </c>
      <c r="K25" s="33" t="n">
        <f aca="false">IF(OR(G25="",H25=0),"",I25/H25)</f>
        <v>0</v>
      </c>
    </row>
    <row r="26" customFormat="false" ht="15" hidden="false" customHeight="false" outlineLevel="0" collapsed="false">
      <c r="B26" s="30"/>
      <c r="C26" s="17"/>
      <c r="D26" s="17"/>
      <c r="E26" s="26"/>
      <c r="G26" s="11" t="str">
        <f aca="false">IF(Setup!E24="","",Setup!E24)</f>
        <v>Sinking funds</v>
      </c>
      <c r="H26" s="22" t="n">
        <f aca="false">IF(G26="","",Setup!G24)</f>
        <v>100</v>
      </c>
      <c r="I26" s="22" t="n">
        <f aca="false">IF(G26="","",SUMIFS($E$7:$E$86,$D$7:$D$86,G26))</f>
        <v>0</v>
      </c>
      <c r="J26" s="22" t="n">
        <f aca="false">IF(G26="","",H26-I26)</f>
        <v>100</v>
      </c>
      <c r="K26" s="33" t="n">
        <f aca="false">IF(OR(G26="",H26=0),"",I26/H26)</f>
        <v>0</v>
      </c>
    </row>
    <row r="27" customFormat="false" ht="15" hidden="false" customHeight="false" outlineLevel="0" collapsed="false">
      <c r="B27" s="30"/>
      <c r="C27" s="17"/>
      <c r="D27" s="17"/>
      <c r="E27" s="26"/>
      <c r="G27" s="11" t="str">
        <f aca="false">IF(Setup!E25="","",Setup!E25)</f>
        <v>Retirement</v>
      </c>
      <c r="H27" s="22" t="n">
        <f aca="false">IF(G27="","",Setup!G25)</f>
        <v>150</v>
      </c>
      <c r="I27" s="22" t="n">
        <f aca="false">IF(G27="","",SUMIFS($E$7:$E$86,$D$7:$D$86,G27))</f>
        <v>0</v>
      </c>
      <c r="J27" s="22" t="n">
        <f aca="false">IF(G27="","",H27-I27)</f>
        <v>150</v>
      </c>
      <c r="K27" s="33" t="n">
        <f aca="false">IF(OR(G27="",H27=0),"",I27/H27)</f>
        <v>0</v>
      </c>
    </row>
    <row r="28" customFormat="false" ht="15" hidden="false" customHeight="false" outlineLevel="0" collapsed="false">
      <c r="B28" s="30"/>
      <c r="C28" s="17"/>
      <c r="D28" s="17"/>
      <c r="E28" s="26"/>
      <c r="G28" s="11" t="str">
        <f aca="false">IF(Setup!E26="","",Setup!E26)</f>
        <v>Credit card</v>
      </c>
      <c r="H28" s="22" t="n">
        <f aca="false">IF(G28="","",Setup!G26)</f>
        <v>150</v>
      </c>
      <c r="I28" s="22" t="n">
        <f aca="false">IF(G28="","",SUMIFS($E$7:$E$86,$D$7:$D$86,G28))</f>
        <v>0</v>
      </c>
      <c r="J28" s="22" t="n">
        <f aca="false">IF(G28="","",H28-I28)</f>
        <v>150</v>
      </c>
      <c r="K28" s="33" t="n">
        <f aca="false">IF(OR(G28="",H28=0),"",I28/H28)</f>
        <v>0</v>
      </c>
    </row>
    <row r="29" customFormat="false" ht="15" hidden="false" customHeight="false" outlineLevel="0" collapsed="false">
      <c r="B29" s="30"/>
      <c r="C29" s="17"/>
      <c r="D29" s="17"/>
      <c r="E29" s="26"/>
      <c r="G29" s="11" t="str">
        <f aca="false">IF(Setup!E27="","",Setup!E27)</f>
        <v>Student loan</v>
      </c>
      <c r="H29" s="22" t="n">
        <f aca="false">IF(G29="","",Setup!G27)</f>
        <v>180</v>
      </c>
      <c r="I29" s="22" t="n">
        <f aca="false">IF(G29="","",SUMIFS($E$7:$E$86,$D$7:$D$86,G29))</f>
        <v>0</v>
      </c>
      <c r="J29" s="22" t="n">
        <f aca="false">IF(G29="","",H29-I29)</f>
        <v>180</v>
      </c>
      <c r="K29" s="33" t="n">
        <f aca="false">IF(OR(G29="",H29=0),"",I29/H29)</f>
        <v>0</v>
      </c>
    </row>
    <row r="30" customFormat="false" ht="15" hidden="false" customHeight="false" outlineLevel="0" collapsed="false">
      <c r="B30" s="30"/>
      <c r="C30" s="17"/>
      <c r="D30" s="17"/>
      <c r="E30" s="26"/>
      <c r="G30" s="11" t="str">
        <f aca="false">IF(Setup!E28="","",Setup!E28)</f>
        <v/>
      </c>
      <c r="H30" s="22" t="str">
        <f aca="false">IF(G30="","",Setup!G28)</f>
        <v/>
      </c>
      <c r="I30" s="22" t="str">
        <f aca="false">IF(G30="","",SUMIFS($E$7:$E$86,$D$7:$D$86,G30))</f>
        <v/>
      </c>
      <c r="J30" s="22" t="str">
        <f aca="false">IF(G30="","",H30-I30)</f>
        <v/>
      </c>
      <c r="K30" s="33" t="str">
        <f aca="false">IF(OR(G30="",H30=0),"",I30/H30)</f>
        <v/>
      </c>
    </row>
    <row r="31" customFormat="false" ht="15" hidden="false" customHeight="false" outlineLevel="0" collapsed="false">
      <c r="B31" s="30"/>
      <c r="C31" s="17"/>
      <c r="D31" s="17"/>
      <c r="E31" s="26"/>
      <c r="G31" s="11" t="str">
        <f aca="false">IF(Setup!E29="","",Setup!E29)</f>
        <v/>
      </c>
      <c r="H31" s="22" t="str">
        <f aca="false">IF(G31="","",Setup!G29)</f>
        <v/>
      </c>
      <c r="I31" s="22" t="str">
        <f aca="false">IF(G31="","",SUMIFS($E$7:$E$86,$D$7:$D$86,G31))</f>
        <v/>
      </c>
      <c r="J31" s="22" t="str">
        <f aca="false">IF(G31="","",H31-I31)</f>
        <v/>
      </c>
      <c r="K31" s="33" t="str">
        <f aca="false">IF(OR(G31="",H31=0),"",I31/H31)</f>
        <v/>
      </c>
    </row>
    <row r="32" customFormat="false" ht="15" hidden="false" customHeight="false" outlineLevel="0" collapsed="false">
      <c r="B32" s="30"/>
      <c r="C32" s="17"/>
      <c r="D32" s="17"/>
      <c r="E32" s="26"/>
      <c r="G32" s="11" t="str">
        <f aca="false">IF(Setup!E30="","",Setup!E30)</f>
        <v/>
      </c>
      <c r="H32" s="22" t="str">
        <f aca="false">IF(G32="","",Setup!G30)</f>
        <v/>
      </c>
      <c r="I32" s="22" t="str">
        <f aca="false">IF(G32="","",SUMIFS($E$7:$E$86,$D$7:$D$86,G32))</f>
        <v/>
      </c>
      <c r="J32" s="22" t="str">
        <f aca="false">IF(G32="","",H32-I32)</f>
        <v/>
      </c>
      <c r="K32" s="33" t="str">
        <f aca="false">IF(OR(G32="",H32=0),"",I32/H32)</f>
        <v/>
      </c>
    </row>
    <row r="33" customFormat="false" ht="15" hidden="false" customHeight="false" outlineLevel="0" collapsed="false">
      <c r="B33" s="30"/>
      <c r="C33" s="17"/>
      <c r="D33" s="17"/>
      <c r="E33" s="26"/>
      <c r="G33" s="11" t="str">
        <f aca="false">IF(Setup!E31="","",Setup!E31)</f>
        <v/>
      </c>
      <c r="H33" s="22" t="str">
        <f aca="false">IF(G33="","",Setup!G31)</f>
        <v/>
      </c>
      <c r="I33" s="22" t="str">
        <f aca="false">IF(G33="","",SUMIFS($E$7:$E$86,$D$7:$D$86,G33))</f>
        <v/>
      </c>
      <c r="J33" s="22" t="str">
        <f aca="false">IF(G33="","",H33-I33)</f>
        <v/>
      </c>
      <c r="K33" s="33" t="str">
        <f aca="false">IF(OR(G33="",H33=0),"",I33/H33)</f>
        <v/>
      </c>
    </row>
    <row r="34" customFormat="false" ht="15" hidden="false" customHeight="false" outlineLevel="0" collapsed="false">
      <c r="B34" s="30"/>
      <c r="C34" s="17"/>
      <c r="D34" s="17"/>
      <c r="E34" s="26"/>
      <c r="G34" s="11" t="str">
        <f aca="false">IF(Setup!E32="","",Setup!E32)</f>
        <v/>
      </c>
      <c r="H34" s="22" t="str">
        <f aca="false">IF(G34="","",Setup!G32)</f>
        <v/>
      </c>
      <c r="I34" s="22" t="str">
        <f aca="false">IF(G34="","",SUMIFS($E$7:$E$86,$D$7:$D$86,G34))</f>
        <v/>
      </c>
      <c r="J34" s="22" t="str">
        <f aca="false">IF(G34="","",H34-I34)</f>
        <v/>
      </c>
      <c r="K34" s="33" t="str">
        <f aca="false">IF(OR(G34="",H34=0),"",I34/H34)</f>
        <v/>
      </c>
    </row>
    <row r="35" customFormat="false" ht="15" hidden="false" customHeight="false" outlineLevel="0" collapsed="false">
      <c r="B35" s="30"/>
      <c r="C35" s="17"/>
      <c r="D35" s="17"/>
      <c r="E35" s="26"/>
      <c r="G35" s="11" t="str">
        <f aca="false">IF(Setup!E33="","",Setup!E33)</f>
        <v/>
      </c>
      <c r="H35" s="22" t="str">
        <f aca="false">IF(G35="","",Setup!G33)</f>
        <v/>
      </c>
      <c r="I35" s="22" t="str">
        <f aca="false">IF(G35="","",SUMIFS($E$7:$E$86,$D$7:$D$86,G35))</f>
        <v/>
      </c>
      <c r="J35" s="22" t="str">
        <f aca="false">IF(G35="","",H35-I35)</f>
        <v/>
      </c>
      <c r="K35" s="33" t="str">
        <f aca="false">IF(OR(G35="",H35=0),"",I35/H35)</f>
        <v/>
      </c>
    </row>
    <row r="36" customFormat="false" ht="15" hidden="false" customHeight="false" outlineLevel="0" collapsed="false">
      <c r="B36" s="30"/>
      <c r="C36" s="17"/>
      <c r="D36" s="17"/>
      <c r="E36" s="26"/>
      <c r="G36" s="11" t="str">
        <f aca="false">IF(Setup!E34="","",Setup!E34)</f>
        <v/>
      </c>
      <c r="H36" s="22" t="str">
        <f aca="false">IF(G36="","",Setup!G34)</f>
        <v/>
      </c>
      <c r="I36" s="22" t="str">
        <f aca="false">IF(G36="","",SUMIFS($E$7:$E$86,$D$7:$D$86,G36))</f>
        <v/>
      </c>
      <c r="J36" s="22" t="str">
        <f aca="false">IF(G36="","",H36-I36)</f>
        <v/>
      </c>
      <c r="K36" s="33" t="str">
        <f aca="false">IF(OR(G36="",H36=0),"",I36/H36)</f>
        <v/>
      </c>
    </row>
    <row r="37" customFormat="false" ht="15" hidden="false" customHeight="false" outlineLevel="0" collapsed="false">
      <c r="B37" s="30"/>
      <c r="C37" s="17"/>
      <c r="D37" s="17"/>
      <c r="E37" s="26"/>
      <c r="G37" s="11" t="str">
        <f aca="false">IF(Setup!E35="","",Setup!E35)</f>
        <v/>
      </c>
      <c r="H37" s="22" t="str">
        <f aca="false">IF(G37="","",Setup!G35)</f>
        <v/>
      </c>
      <c r="I37" s="22" t="str">
        <f aca="false">IF(G37="","",SUMIFS($E$7:$E$86,$D$7:$D$86,G37))</f>
        <v/>
      </c>
      <c r="J37" s="22" t="str">
        <f aca="false">IF(G37="","",H37-I37)</f>
        <v/>
      </c>
      <c r="K37" s="33" t="str">
        <f aca="false">IF(OR(G37="",H37=0),"",I37/H37)</f>
        <v/>
      </c>
    </row>
    <row r="38" customFormat="false" ht="15" hidden="false" customHeight="false" outlineLevel="0" collapsed="false">
      <c r="B38" s="30"/>
      <c r="C38" s="17"/>
      <c r="D38" s="17"/>
      <c r="E38" s="26"/>
      <c r="G38" s="11" t="str">
        <f aca="false">IF(Setup!E36="","",Setup!E36)</f>
        <v/>
      </c>
      <c r="H38" s="22" t="str">
        <f aca="false">IF(G38="","",Setup!G36)</f>
        <v/>
      </c>
      <c r="I38" s="22" t="str">
        <f aca="false">IF(G38="","",SUMIFS($E$7:$E$86,$D$7:$D$86,G38))</f>
        <v/>
      </c>
      <c r="J38" s="22" t="str">
        <f aca="false">IF(G38="","",H38-I38)</f>
        <v/>
      </c>
      <c r="K38" s="33" t="str">
        <f aca="false">IF(OR(G38="",H38=0),"",I38/H38)</f>
        <v/>
      </c>
    </row>
    <row r="39" customFormat="false" ht="15" hidden="false" customHeight="false" outlineLevel="0" collapsed="false">
      <c r="B39" s="30"/>
      <c r="C39" s="17"/>
      <c r="D39" s="17"/>
      <c r="E39" s="26"/>
      <c r="G39" s="11" t="str">
        <f aca="false">IF(Setup!E37="","",Setup!E37)</f>
        <v/>
      </c>
      <c r="H39" s="22" t="str">
        <f aca="false">IF(G39="","",Setup!G37)</f>
        <v/>
      </c>
      <c r="I39" s="22" t="str">
        <f aca="false">IF(G39="","",SUMIFS($E$7:$E$86,$D$7:$D$86,G39))</f>
        <v/>
      </c>
      <c r="J39" s="22" t="str">
        <f aca="false">IF(G39="","",H39-I39)</f>
        <v/>
      </c>
      <c r="K39" s="33" t="str">
        <f aca="false">IF(OR(G39="",H39=0),"",I39/H39)</f>
        <v/>
      </c>
    </row>
    <row r="40" customFormat="false" ht="15" hidden="false" customHeight="false" outlineLevel="0" collapsed="false">
      <c r="B40" s="30"/>
      <c r="C40" s="17"/>
      <c r="D40" s="17"/>
      <c r="E40" s="26"/>
      <c r="G40" s="11" t="str">
        <f aca="false">IF(Setup!E38="","",Setup!E38)</f>
        <v/>
      </c>
      <c r="H40" s="22" t="str">
        <f aca="false">IF(G40="","",Setup!G38)</f>
        <v/>
      </c>
      <c r="I40" s="22" t="str">
        <f aca="false">IF(G40="","",SUMIFS($E$7:$E$86,$D$7:$D$86,G40))</f>
        <v/>
      </c>
      <c r="J40" s="22" t="str">
        <f aca="false">IF(G40="","",H40-I40)</f>
        <v/>
      </c>
      <c r="K40" s="33" t="str">
        <f aca="false">IF(OR(G40="",H40=0),"",I40/H40)</f>
        <v/>
      </c>
    </row>
    <row r="41" customFormat="false" ht="15" hidden="false" customHeight="false" outlineLevel="0" collapsed="false">
      <c r="B41" s="30"/>
      <c r="C41" s="17"/>
      <c r="D41" s="17"/>
      <c r="E41" s="26"/>
      <c r="G41" s="11" t="str">
        <f aca="false">IF(Setup!E39="","",Setup!E39)</f>
        <v/>
      </c>
      <c r="H41" s="22" t="str">
        <f aca="false">IF(G41="","",Setup!G39)</f>
        <v/>
      </c>
      <c r="I41" s="22" t="str">
        <f aca="false">IF(G41="","",SUMIFS($E$7:$E$86,$D$7:$D$86,G41))</f>
        <v/>
      </c>
      <c r="J41" s="22" t="str">
        <f aca="false">IF(G41="","",H41-I41)</f>
        <v/>
      </c>
      <c r="K41" s="33" t="str">
        <f aca="false">IF(OR(G41="",H41=0),"",I41/H41)</f>
        <v/>
      </c>
    </row>
    <row r="42" customFormat="false" ht="15" hidden="false" customHeight="false" outlineLevel="0" collapsed="false">
      <c r="B42" s="30"/>
      <c r="C42" s="17"/>
      <c r="D42" s="17"/>
      <c r="E42" s="26"/>
    </row>
    <row r="43" customFormat="false" ht="15" hidden="false" customHeight="false" outlineLevel="0" collapsed="false">
      <c r="B43" s="30"/>
      <c r="C43" s="17"/>
      <c r="D43" s="17"/>
      <c r="E43" s="26"/>
    </row>
    <row r="44" customFormat="false" ht="15" hidden="false" customHeight="false" outlineLevel="0" collapsed="false">
      <c r="B44" s="30"/>
      <c r="C44" s="17"/>
      <c r="D44" s="17"/>
      <c r="E44" s="26"/>
    </row>
    <row r="45" customFormat="false" ht="15" hidden="false" customHeight="false" outlineLevel="0" collapsed="false">
      <c r="B45" s="30"/>
      <c r="C45" s="17"/>
      <c r="D45" s="17"/>
      <c r="E45" s="26"/>
    </row>
    <row r="46" customFormat="false" ht="15" hidden="false" customHeight="false" outlineLevel="0" collapsed="false">
      <c r="B46" s="30"/>
      <c r="C46" s="17"/>
      <c r="D46" s="17"/>
      <c r="E46" s="26"/>
    </row>
    <row r="47" customFormat="false" ht="15" hidden="false" customHeight="false" outlineLevel="0" collapsed="false">
      <c r="B47" s="30"/>
      <c r="C47" s="17"/>
      <c r="D47" s="17"/>
      <c r="E47" s="26"/>
    </row>
    <row r="48" customFormat="false" ht="15" hidden="false" customHeight="false" outlineLevel="0" collapsed="false">
      <c r="B48" s="30"/>
      <c r="C48" s="17"/>
      <c r="D48" s="17"/>
      <c r="E48" s="26"/>
    </row>
    <row r="49" customFormat="false" ht="15" hidden="false" customHeight="false" outlineLevel="0" collapsed="false">
      <c r="B49" s="30"/>
      <c r="C49" s="17"/>
      <c r="D49" s="17"/>
      <c r="E49" s="26"/>
    </row>
    <row r="50" customFormat="false" ht="15" hidden="false" customHeight="false" outlineLevel="0" collapsed="false">
      <c r="B50" s="30"/>
      <c r="C50" s="17"/>
      <c r="D50" s="17"/>
      <c r="E50" s="26"/>
    </row>
    <row r="51" customFormat="false" ht="15" hidden="false" customHeight="false" outlineLevel="0" collapsed="false">
      <c r="B51" s="30"/>
      <c r="C51" s="17"/>
      <c r="D51" s="17"/>
      <c r="E51" s="26"/>
    </row>
    <row r="52" customFormat="false" ht="15" hidden="false" customHeight="false" outlineLevel="0" collapsed="false">
      <c r="B52" s="30"/>
      <c r="C52" s="17"/>
      <c r="D52" s="17"/>
      <c r="E52" s="26"/>
    </row>
    <row r="53" customFormat="false" ht="15" hidden="false" customHeight="false" outlineLevel="0" collapsed="false">
      <c r="B53" s="30"/>
      <c r="C53" s="17"/>
      <c r="D53" s="17"/>
      <c r="E53" s="26"/>
    </row>
    <row r="54" customFormat="false" ht="15" hidden="false" customHeight="false" outlineLevel="0" collapsed="false">
      <c r="B54" s="30"/>
      <c r="C54" s="17"/>
      <c r="D54" s="17"/>
      <c r="E54" s="26"/>
    </row>
    <row r="55" customFormat="false" ht="15" hidden="false" customHeight="false" outlineLevel="0" collapsed="false">
      <c r="B55" s="30"/>
      <c r="C55" s="17"/>
      <c r="D55" s="17"/>
      <c r="E55" s="26"/>
    </row>
    <row r="56" customFormat="false" ht="15" hidden="false" customHeight="false" outlineLevel="0" collapsed="false">
      <c r="B56" s="30"/>
      <c r="C56" s="17"/>
      <c r="D56" s="17"/>
      <c r="E56" s="26"/>
    </row>
    <row r="57" customFormat="false" ht="15" hidden="false" customHeight="false" outlineLevel="0" collapsed="false">
      <c r="B57" s="30"/>
      <c r="C57" s="17"/>
      <c r="D57" s="17"/>
      <c r="E57" s="26"/>
    </row>
    <row r="58" customFormat="false" ht="15" hidden="false" customHeight="false" outlineLevel="0" collapsed="false">
      <c r="B58" s="30"/>
      <c r="C58" s="17"/>
      <c r="D58" s="17"/>
      <c r="E58" s="26"/>
    </row>
    <row r="59" customFormat="false" ht="15" hidden="false" customHeight="false" outlineLevel="0" collapsed="false">
      <c r="B59" s="30"/>
      <c r="C59" s="17"/>
      <c r="D59" s="17"/>
      <c r="E59" s="26"/>
    </row>
    <row r="60" customFormat="false" ht="15" hidden="false" customHeight="false" outlineLevel="0" collapsed="false">
      <c r="B60" s="30"/>
      <c r="C60" s="17"/>
      <c r="D60" s="17"/>
      <c r="E60" s="26"/>
    </row>
    <row r="61" customFormat="false" ht="15" hidden="false" customHeight="false" outlineLevel="0" collapsed="false">
      <c r="B61" s="30"/>
      <c r="C61" s="17"/>
      <c r="D61" s="17"/>
      <c r="E61" s="26"/>
    </row>
    <row r="62" customFormat="false" ht="15" hidden="false" customHeight="false" outlineLevel="0" collapsed="false">
      <c r="B62" s="30"/>
      <c r="C62" s="17"/>
      <c r="D62" s="17"/>
      <c r="E62" s="26"/>
    </row>
    <row r="63" customFormat="false" ht="15" hidden="false" customHeight="false" outlineLevel="0" collapsed="false">
      <c r="B63" s="30"/>
      <c r="C63" s="17"/>
      <c r="D63" s="17"/>
      <c r="E63" s="26"/>
    </row>
    <row r="64" customFormat="false" ht="15" hidden="false" customHeight="false" outlineLevel="0" collapsed="false">
      <c r="B64" s="30"/>
      <c r="C64" s="17"/>
      <c r="D64" s="17"/>
      <c r="E64" s="26"/>
    </row>
    <row r="65" customFormat="false" ht="15" hidden="false" customHeight="false" outlineLevel="0" collapsed="false">
      <c r="B65" s="30"/>
      <c r="C65" s="17"/>
      <c r="D65" s="17"/>
      <c r="E65" s="26"/>
    </row>
    <row r="66" customFormat="false" ht="15" hidden="false" customHeight="false" outlineLevel="0" collapsed="false">
      <c r="B66" s="30"/>
      <c r="C66" s="17"/>
      <c r="D66" s="17"/>
      <c r="E66" s="26"/>
    </row>
    <row r="67" customFormat="false" ht="15" hidden="false" customHeight="false" outlineLevel="0" collapsed="false">
      <c r="B67" s="30"/>
      <c r="C67" s="17"/>
      <c r="D67" s="17"/>
      <c r="E67" s="26"/>
    </row>
    <row r="68" customFormat="false" ht="15" hidden="false" customHeight="false" outlineLevel="0" collapsed="false">
      <c r="B68" s="30"/>
      <c r="C68" s="17"/>
      <c r="D68" s="17"/>
      <c r="E68" s="26"/>
    </row>
    <row r="69" customFormat="false" ht="15" hidden="false" customHeight="false" outlineLevel="0" collapsed="false">
      <c r="B69" s="30"/>
      <c r="C69" s="17"/>
      <c r="D69" s="17"/>
      <c r="E69" s="26"/>
    </row>
    <row r="70" customFormat="false" ht="15" hidden="false" customHeight="false" outlineLevel="0" collapsed="false">
      <c r="B70" s="30"/>
      <c r="C70" s="17"/>
      <c r="D70" s="17"/>
      <c r="E70" s="26"/>
    </row>
    <row r="71" customFormat="false" ht="15" hidden="false" customHeight="false" outlineLevel="0" collapsed="false">
      <c r="B71" s="30"/>
      <c r="C71" s="17"/>
      <c r="D71" s="17"/>
      <c r="E71" s="26"/>
    </row>
    <row r="72" customFormat="false" ht="15" hidden="false" customHeight="false" outlineLevel="0" collapsed="false">
      <c r="B72" s="30"/>
      <c r="C72" s="17"/>
      <c r="D72" s="17"/>
      <c r="E72" s="26"/>
    </row>
    <row r="73" customFormat="false" ht="15" hidden="false" customHeight="false" outlineLevel="0" collapsed="false">
      <c r="B73" s="30"/>
      <c r="C73" s="17"/>
      <c r="D73" s="17"/>
      <c r="E73" s="26"/>
    </row>
    <row r="74" customFormat="false" ht="15" hidden="false" customHeight="false" outlineLevel="0" collapsed="false">
      <c r="B74" s="30"/>
      <c r="C74" s="17"/>
      <c r="D74" s="17"/>
      <c r="E74" s="26"/>
    </row>
    <row r="75" customFormat="false" ht="15" hidden="false" customHeight="false" outlineLevel="0" collapsed="false">
      <c r="B75" s="30"/>
      <c r="C75" s="17"/>
      <c r="D75" s="17"/>
      <c r="E75" s="26"/>
    </row>
    <row r="76" customFormat="false" ht="15" hidden="false" customHeight="false" outlineLevel="0" collapsed="false">
      <c r="B76" s="30"/>
      <c r="C76" s="17"/>
      <c r="D76" s="17"/>
      <c r="E76" s="26"/>
    </row>
    <row r="77" customFormat="false" ht="15" hidden="false" customHeight="false" outlineLevel="0" collapsed="false">
      <c r="B77" s="30"/>
      <c r="C77" s="17"/>
      <c r="D77" s="17"/>
      <c r="E77" s="26"/>
    </row>
    <row r="78" customFormat="false" ht="15" hidden="false" customHeight="false" outlineLevel="0" collapsed="false">
      <c r="B78" s="30"/>
      <c r="C78" s="17"/>
      <c r="D78" s="17"/>
      <c r="E78" s="26"/>
    </row>
    <row r="79" customFormat="false" ht="15" hidden="false" customHeight="false" outlineLevel="0" collapsed="false">
      <c r="B79" s="30"/>
      <c r="C79" s="17"/>
      <c r="D79" s="17"/>
      <c r="E79" s="26"/>
    </row>
    <row r="80" customFormat="false" ht="15" hidden="false" customHeight="false" outlineLevel="0" collapsed="false">
      <c r="B80" s="30"/>
      <c r="C80" s="17"/>
      <c r="D80" s="17"/>
      <c r="E80" s="26"/>
    </row>
    <row r="81" customFormat="false" ht="15" hidden="false" customHeight="false" outlineLevel="0" collapsed="false">
      <c r="B81" s="30"/>
      <c r="C81" s="17"/>
      <c r="D81" s="17"/>
      <c r="E81" s="26"/>
    </row>
    <row r="82" customFormat="false" ht="15" hidden="false" customHeight="false" outlineLevel="0" collapsed="false">
      <c r="B82" s="30"/>
      <c r="C82" s="17"/>
      <c r="D82" s="17"/>
      <c r="E82" s="26"/>
    </row>
    <row r="83" customFormat="false" ht="15" hidden="false" customHeight="false" outlineLevel="0" collapsed="false">
      <c r="B83" s="30"/>
      <c r="C83" s="17"/>
      <c r="D83" s="17"/>
      <c r="E83" s="26"/>
    </row>
    <row r="84" customFormat="false" ht="15" hidden="false" customHeight="false" outlineLevel="0" collapsed="false">
      <c r="B84" s="30"/>
      <c r="C84" s="17"/>
      <c r="D84" s="17"/>
      <c r="E84" s="26"/>
    </row>
    <row r="85" customFormat="false" ht="15" hidden="false" customHeight="false" outlineLevel="0" collapsed="false">
      <c r="B85" s="30"/>
      <c r="C85" s="17"/>
      <c r="D85" s="17"/>
      <c r="E85" s="26"/>
    </row>
    <row r="86" customFormat="false" ht="15" hidden="false" customHeight="false" outlineLevel="0" collapsed="false">
      <c r="B86" s="30"/>
      <c r="C86" s="17"/>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K12:K41">
    <cfRule type="dataBar" priority="4">
      <dataBar showValue="1" minLength="10" maxLength="90">
        <cfvo type="num" val="0"/>
        <cfvo type="num" val="1"/>
        <color rgb="FF2F6F5E"/>
      </dataBar>
      <extLst>
        <ext xmlns:x14="http://schemas.microsoft.com/office/spreadsheetml/2009/9/main" uri="{B025F937-C7B1-47D3-B67F-A62EFF666E3E}">
          <x14:id>{BEB9C0B4-EFE2-459E-BEB2-EFC1EA4C87AE}</x14:id>
        </ext>
      </extLst>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r:id="rId1" location="'Start%20here'!A1" display="Start here"/>
    <hyperlink ref="C4" r:id="rId2" location="'Dashboard'!A1" display="Dashboard"/>
    <hyperlink ref="D4" r:id="rId3" location="'Setup'!A1" display="Setup"/>
    <hyperlink ref="E4" r:id="rId4" location="'January'!A1" display="Months"/>
    <hyperlink ref="F4" r:id="rId5" location="'Bills'!A1" display="Bills"/>
    <hyperlink ref="G4" r:id="rId6" location="'Paycheck%20plan'!A1" display="Paycheck"/>
    <hyperlink ref="H4" r:id="rId7" location="'Debt%20payoff'!A1" display="Debt"/>
    <hyperlink ref="I4" r:id="rId8" location="'Savings%20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BEB9C0B4-EFE2-459E-BEB2-EFC1EA4C87AE}">
            <x14:dataBar minLength="10" maxLength="90" axisPosition="none" gradient="true">
              <x14:cfvo type="num">
                <xm:f>0</xm:f>
              </x14:cfvo>
              <x14:cfvo type="num">
                <xm:f>1</xm:f>
              </x14:cfvo>
              <x14:negativeFillColor rgb="FF2F6F5E"/>
              <x14:axisColor rgb="FF000000"/>
            </x14:dataBar>
          </x14:cfRule>
          <xm:sqref>K12:K41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K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10"/>
    <col collapsed="false" customWidth="true" hidden="false" outlineLevel="0" max="29" min="12" style="0" width="14"/>
  </cols>
  <sheetData>
    <row r="2" customFormat="false" ht="33.75" hidden="false" customHeight="true" outlineLevel="0" collapsed="false">
      <c r="B2" s="1" t="s">
        <v>36</v>
      </c>
    </row>
    <row r="3" customFormat="false" ht="15" hidden="false" customHeight="false" outlineLevel="0" collapsed="false">
      <c r="B3" s="2" t="s">
        <v>99</v>
      </c>
    </row>
    <row r="4" customFormat="false" ht="15" hidden="false" customHeight="false" outlineLevel="0" collapsed="false">
      <c r="B4" s="3" t="s">
        <v>2</v>
      </c>
      <c r="C4" s="3" t="s">
        <v>3</v>
      </c>
      <c r="D4" s="3" t="s">
        <v>4</v>
      </c>
      <c r="E4" s="3" t="s">
        <v>5</v>
      </c>
      <c r="F4" s="3" t="s">
        <v>6</v>
      </c>
      <c r="G4" s="3" t="s">
        <v>7</v>
      </c>
      <c r="H4" s="3" t="s">
        <v>8</v>
      </c>
      <c r="I4" s="3" t="s">
        <v>9</v>
      </c>
    </row>
    <row r="6" customFormat="false" ht="21.75" hidden="false" customHeight="true" outlineLevel="0" collapsed="false">
      <c r="B6" s="10" t="s">
        <v>100</v>
      </c>
      <c r="C6" s="10" t="s">
        <v>101</v>
      </c>
      <c r="D6" s="10" t="s">
        <v>64</v>
      </c>
      <c r="E6" s="10" t="s">
        <v>102</v>
      </c>
      <c r="G6" s="27" t="s">
        <v>103</v>
      </c>
      <c r="H6" s="28" t="n">
        <f aca="false">Setup!$C$18</f>
        <v>3900</v>
      </c>
      <c r="I6" s="29" t="s">
        <v>104</v>
      </c>
    </row>
    <row r="7" customFormat="false" ht="15" hidden="false" customHeight="false" outlineLevel="0" collapsed="false">
      <c r="B7" s="30"/>
      <c r="C7" s="17"/>
      <c r="D7" s="17"/>
      <c r="E7" s="26"/>
      <c r="G7" s="31" t="s">
        <v>61</v>
      </c>
      <c r="H7" s="32" t="n">
        <f aca="false">SUM(E7:E86)</f>
        <v>0</v>
      </c>
    </row>
    <row r="8" customFormat="false" ht="15" hidden="false" customHeight="false" outlineLevel="0" collapsed="false">
      <c r="B8" s="30"/>
      <c r="C8" s="17"/>
      <c r="D8" s="17"/>
      <c r="E8" s="26"/>
      <c r="G8" s="31" t="s">
        <v>62</v>
      </c>
      <c r="H8" s="32" t="n">
        <f aca="false">H6-H7</f>
        <v>3900</v>
      </c>
    </row>
    <row r="9" customFormat="false" ht="15" hidden="false" customHeight="false" outlineLevel="0" collapsed="false">
      <c r="B9" s="30"/>
      <c r="C9" s="17"/>
      <c r="D9" s="17"/>
      <c r="E9" s="26"/>
      <c r="G9" s="31" t="s">
        <v>108</v>
      </c>
      <c r="H9" s="32" t="n">
        <f aca="false">SUMPRODUCT(SUMIFS($E$7:$E$86,$D$7:$D$86,Setup!$E$10:$E$39)*((Setup!$F$10:$F$39="Savings")+(Setup!$F$10:$F$39="Debt")))</f>
        <v>0</v>
      </c>
    </row>
    <row r="10" customFormat="false" ht="15" hidden="false" customHeight="false" outlineLevel="0" collapsed="false">
      <c r="B10" s="30"/>
      <c r="C10" s="17"/>
      <c r="D10" s="17"/>
      <c r="E10" s="26"/>
    </row>
    <row r="11" customFormat="false" ht="21.75" hidden="false" customHeight="true" outlineLevel="0" collapsed="false">
      <c r="B11" s="30"/>
      <c r="C11" s="17"/>
      <c r="D11" s="17"/>
      <c r="E11" s="26"/>
      <c r="G11" s="10" t="s">
        <v>64</v>
      </c>
      <c r="H11" s="10" t="s">
        <v>110</v>
      </c>
      <c r="I11" s="10" t="s">
        <v>61</v>
      </c>
      <c r="J11" s="10" t="s">
        <v>111</v>
      </c>
      <c r="K11" s="10" t="s">
        <v>112</v>
      </c>
    </row>
    <row r="12" customFormat="false" ht="15" hidden="false" customHeight="false" outlineLevel="0" collapsed="false">
      <c r="B12" s="30"/>
      <c r="C12" s="17"/>
      <c r="D12" s="17"/>
      <c r="E12" s="26"/>
      <c r="G12" s="11" t="str">
        <f aca="false">IF(Setup!E10="","",Setup!E10)</f>
        <v>Rent or mortgage</v>
      </c>
      <c r="H12" s="22" t="n">
        <f aca="false">IF(G12="","",Setup!G10)</f>
        <v>1400</v>
      </c>
      <c r="I12" s="22" t="n">
        <f aca="false">IF(G12="","",SUMIFS($E$7:$E$86,$D$7:$D$86,G12))</f>
        <v>0</v>
      </c>
      <c r="J12" s="22" t="n">
        <f aca="false">IF(G12="","",H12-I12)</f>
        <v>1400</v>
      </c>
      <c r="K12" s="33" t="n">
        <f aca="false">IF(OR(G12="",H12=0),"",I12/H12)</f>
        <v>0</v>
      </c>
    </row>
    <row r="13" customFormat="false" ht="15" hidden="false" customHeight="false" outlineLevel="0" collapsed="false">
      <c r="B13" s="30"/>
      <c r="C13" s="17"/>
      <c r="D13" s="17"/>
      <c r="E13" s="26"/>
      <c r="G13" s="11" t="str">
        <f aca="false">IF(Setup!E11="","",Setup!E11)</f>
        <v>Utilities</v>
      </c>
      <c r="H13" s="22" t="n">
        <f aca="false">IF(G13="","",Setup!G11)</f>
        <v>180</v>
      </c>
      <c r="I13" s="22" t="n">
        <f aca="false">IF(G13="","",SUMIFS($E$7:$E$86,$D$7:$D$86,G13))</f>
        <v>0</v>
      </c>
      <c r="J13" s="22" t="n">
        <f aca="false">IF(G13="","",H13-I13)</f>
        <v>180</v>
      </c>
      <c r="K13" s="33" t="n">
        <f aca="false">IF(OR(G13="",H13=0),"",I13/H13)</f>
        <v>0</v>
      </c>
    </row>
    <row r="14" customFormat="false" ht="15" hidden="false" customHeight="false" outlineLevel="0" collapsed="false">
      <c r="B14" s="30"/>
      <c r="C14" s="17"/>
      <c r="D14" s="17"/>
      <c r="E14" s="26"/>
      <c r="G14" s="11" t="str">
        <f aca="false">IF(Setup!E12="","",Setup!E12)</f>
        <v>Groceries</v>
      </c>
      <c r="H14" s="22" t="n">
        <f aca="false">IF(G14="","",Setup!G12)</f>
        <v>500</v>
      </c>
      <c r="I14" s="22" t="n">
        <f aca="false">IF(G14="","",SUMIFS($E$7:$E$86,$D$7:$D$86,G14))</f>
        <v>0</v>
      </c>
      <c r="J14" s="22" t="n">
        <f aca="false">IF(G14="","",H14-I14)</f>
        <v>500</v>
      </c>
      <c r="K14" s="33" t="n">
        <f aca="false">IF(OR(G14="",H14=0),"",I14/H14)</f>
        <v>0</v>
      </c>
    </row>
    <row r="15" customFormat="false" ht="15" hidden="false" customHeight="false" outlineLevel="0" collapsed="false">
      <c r="B15" s="30"/>
      <c r="C15" s="17"/>
      <c r="D15" s="17"/>
      <c r="E15" s="26"/>
      <c r="G15" s="11" t="str">
        <f aca="false">IF(Setup!E13="","",Setup!E13)</f>
        <v>Transport</v>
      </c>
      <c r="H15" s="22" t="n">
        <f aca="false">IF(G15="","",Setup!G13)</f>
        <v>220</v>
      </c>
      <c r="I15" s="22" t="n">
        <f aca="false">IF(G15="","",SUMIFS($E$7:$E$86,$D$7:$D$86,G15))</f>
        <v>0</v>
      </c>
      <c r="J15" s="22" t="n">
        <f aca="false">IF(G15="","",H15-I15)</f>
        <v>220</v>
      </c>
      <c r="K15" s="33" t="n">
        <f aca="false">IF(OR(G15="",H15=0),"",I15/H15)</f>
        <v>0</v>
      </c>
    </row>
    <row r="16" customFormat="false" ht="15" hidden="false" customHeight="false" outlineLevel="0" collapsed="false">
      <c r="B16" s="30"/>
      <c r="C16" s="17"/>
      <c r="D16" s="17"/>
      <c r="E16" s="26"/>
      <c r="G16" s="11" t="str">
        <f aca="false">IF(Setup!E14="","",Setup!E14)</f>
        <v>Insurance</v>
      </c>
      <c r="H16" s="22" t="n">
        <f aca="false">IF(G16="","",Setup!G14)</f>
        <v>160</v>
      </c>
      <c r="I16" s="22" t="n">
        <f aca="false">IF(G16="","",SUMIFS($E$7:$E$86,$D$7:$D$86,G16))</f>
        <v>0</v>
      </c>
      <c r="J16" s="22" t="n">
        <f aca="false">IF(G16="","",H16-I16)</f>
        <v>160</v>
      </c>
      <c r="K16" s="33" t="n">
        <f aca="false">IF(OR(G16="",H16=0),"",I16/H16)</f>
        <v>0</v>
      </c>
    </row>
    <row r="17" customFormat="false" ht="15" hidden="false" customHeight="false" outlineLevel="0" collapsed="false">
      <c r="B17" s="30"/>
      <c r="C17" s="17"/>
      <c r="D17" s="17"/>
      <c r="E17" s="26"/>
      <c r="G17" s="11" t="str">
        <f aca="false">IF(Setup!E15="","",Setup!E15)</f>
        <v>Phone and internet</v>
      </c>
      <c r="H17" s="22" t="n">
        <f aca="false">IF(G17="","",Setup!G15)</f>
        <v>95</v>
      </c>
      <c r="I17" s="22" t="n">
        <f aca="false">IF(G17="","",SUMIFS($E$7:$E$86,$D$7:$D$86,G17))</f>
        <v>0</v>
      </c>
      <c r="J17" s="22" t="n">
        <f aca="false">IF(G17="","",H17-I17)</f>
        <v>95</v>
      </c>
      <c r="K17" s="33" t="n">
        <f aca="false">IF(OR(G17="",H17=0),"",I17/H17)</f>
        <v>0</v>
      </c>
    </row>
    <row r="18" customFormat="false" ht="15" hidden="false" customHeight="false" outlineLevel="0" collapsed="false">
      <c r="B18" s="30"/>
      <c r="C18" s="17"/>
      <c r="D18" s="17"/>
      <c r="E18" s="26"/>
      <c r="G18" s="11" t="str">
        <f aca="false">IF(Setup!E16="","",Setup!E16)</f>
        <v>Medical</v>
      </c>
      <c r="H18" s="22" t="n">
        <f aca="false">IF(G18="","",Setup!G16)</f>
        <v>60</v>
      </c>
      <c r="I18" s="22" t="n">
        <f aca="false">IF(G18="","",SUMIFS($E$7:$E$86,$D$7:$D$86,G18))</f>
        <v>0</v>
      </c>
      <c r="J18" s="22" t="n">
        <f aca="false">IF(G18="","",H18-I18)</f>
        <v>60</v>
      </c>
      <c r="K18" s="33" t="n">
        <f aca="false">IF(OR(G18="",H18=0),"",I18/H18)</f>
        <v>0</v>
      </c>
    </row>
    <row r="19" customFormat="false" ht="15" hidden="false" customHeight="false" outlineLevel="0" collapsed="false">
      <c r="B19" s="30"/>
      <c r="C19" s="17"/>
      <c r="D19" s="17"/>
      <c r="E19" s="26"/>
      <c r="G19" s="11" t="str">
        <f aca="false">IF(Setup!E17="","",Setup!E17)</f>
        <v>Eating out</v>
      </c>
      <c r="H19" s="22" t="n">
        <f aca="false">IF(G19="","",Setup!G17)</f>
        <v>150</v>
      </c>
      <c r="I19" s="22" t="n">
        <f aca="false">IF(G19="","",SUMIFS($E$7:$E$86,$D$7:$D$86,G19))</f>
        <v>0</v>
      </c>
      <c r="J19" s="22" t="n">
        <f aca="false">IF(G19="","",H19-I19)</f>
        <v>150</v>
      </c>
      <c r="K19" s="33" t="n">
        <f aca="false">IF(OR(G19="",H19=0),"",I19/H19)</f>
        <v>0</v>
      </c>
    </row>
    <row r="20" customFormat="false" ht="15" hidden="false" customHeight="false" outlineLevel="0" collapsed="false">
      <c r="B20" s="30"/>
      <c r="C20" s="17"/>
      <c r="D20" s="17"/>
      <c r="E20" s="26"/>
      <c r="G20" s="11" t="str">
        <f aca="false">IF(Setup!E18="","",Setup!E18)</f>
        <v>Shopping</v>
      </c>
      <c r="H20" s="22" t="n">
        <f aca="false">IF(G20="","",Setup!G18)</f>
        <v>120</v>
      </c>
      <c r="I20" s="22" t="n">
        <f aca="false">IF(G20="","",SUMIFS($E$7:$E$86,$D$7:$D$86,G20))</f>
        <v>0</v>
      </c>
      <c r="J20" s="22" t="n">
        <f aca="false">IF(G20="","",H20-I20)</f>
        <v>120</v>
      </c>
      <c r="K20" s="33" t="n">
        <f aca="false">IF(OR(G20="",H20=0),"",I20/H20)</f>
        <v>0</v>
      </c>
    </row>
    <row r="21" customFormat="false" ht="15" hidden="false" customHeight="false" outlineLevel="0" collapsed="false">
      <c r="B21" s="30"/>
      <c r="C21" s="17"/>
      <c r="D21" s="17"/>
      <c r="E21" s="26"/>
      <c r="G21" s="11" t="str">
        <f aca="false">IF(Setup!E19="","",Setup!E19)</f>
        <v>Subscriptions</v>
      </c>
      <c r="H21" s="22" t="n">
        <f aca="false">IF(G21="","",Setup!G19)</f>
        <v>45</v>
      </c>
      <c r="I21" s="22" t="n">
        <f aca="false">IF(G21="","",SUMIFS($E$7:$E$86,$D$7:$D$86,G21))</f>
        <v>0</v>
      </c>
      <c r="J21" s="22" t="n">
        <f aca="false">IF(G21="","",H21-I21)</f>
        <v>45</v>
      </c>
      <c r="K21" s="33" t="n">
        <f aca="false">IF(OR(G21="",H21=0),"",I21/H21)</f>
        <v>0</v>
      </c>
    </row>
    <row r="22" customFormat="false" ht="15" hidden="false" customHeight="false" outlineLevel="0" collapsed="false">
      <c r="B22" s="30"/>
      <c r="C22" s="17"/>
      <c r="D22" s="17"/>
      <c r="E22" s="26"/>
      <c r="G22" s="11" t="str">
        <f aca="false">IF(Setup!E20="","",Setup!E20)</f>
        <v>Fun</v>
      </c>
      <c r="H22" s="22" t="n">
        <f aca="false">IF(G22="","",Setup!G20)</f>
        <v>100</v>
      </c>
      <c r="I22" s="22" t="n">
        <f aca="false">IF(G22="","",SUMIFS($E$7:$E$86,$D$7:$D$86,G22))</f>
        <v>0</v>
      </c>
      <c r="J22" s="22" t="n">
        <f aca="false">IF(G22="","",H22-I22)</f>
        <v>100</v>
      </c>
      <c r="K22" s="33" t="n">
        <f aca="false">IF(OR(G22="",H22=0),"",I22/H22)</f>
        <v>0</v>
      </c>
    </row>
    <row r="23" customFormat="false" ht="15" hidden="false" customHeight="false" outlineLevel="0" collapsed="false">
      <c r="B23" s="30"/>
      <c r="C23" s="17"/>
      <c r="D23" s="17"/>
      <c r="E23" s="26"/>
      <c r="G23" s="11" t="str">
        <f aca="false">IF(Setup!E21="","",Setup!E21)</f>
        <v>Gifts</v>
      </c>
      <c r="H23" s="22" t="n">
        <f aca="false">IF(G23="","",Setup!G21)</f>
        <v>40</v>
      </c>
      <c r="I23" s="22" t="n">
        <f aca="false">IF(G23="","",SUMIFS($E$7:$E$86,$D$7:$D$86,G23))</f>
        <v>0</v>
      </c>
      <c r="J23" s="22" t="n">
        <f aca="false">IF(G23="","",H23-I23)</f>
        <v>40</v>
      </c>
      <c r="K23" s="33" t="n">
        <f aca="false">IF(OR(G23="",H23=0),"",I23/H23)</f>
        <v>0</v>
      </c>
    </row>
    <row r="24" customFormat="false" ht="15" hidden="false" customHeight="false" outlineLevel="0" collapsed="false">
      <c r="B24" s="30"/>
      <c r="C24" s="17"/>
      <c r="D24" s="17"/>
      <c r="E24" s="26"/>
      <c r="G24" s="11" t="str">
        <f aca="false">IF(Setup!E22="","",Setup!E22)</f>
        <v>Personal care</v>
      </c>
      <c r="H24" s="22" t="n">
        <f aca="false">IF(G24="","",Setup!G22)</f>
        <v>50</v>
      </c>
      <c r="I24" s="22" t="n">
        <f aca="false">IF(G24="","",SUMIFS($E$7:$E$86,$D$7:$D$86,G24))</f>
        <v>0</v>
      </c>
      <c r="J24" s="22" t="n">
        <f aca="false">IF(G24="","",H24-I24)</f>
        <v>50</v>
      </c>
      <c r="K24" s="33" t="n">
        <f aca="false">IF(OR(G24="",H24=0),"",I24/H24)</f>
        <v>0</v>
      </c>
    </row>
    <row r="25" customFormat="false" ht="15" hidden="false" customHeight="false" outlineLevel="0" collapsed="false">
      <c r="B25" s="30"/>
      <c r="C25" s="17"/>
      <c r="D25" s="17"/>
      <c r="E25" s="26"/>
      <c r="G25" s="11" t="str">
        <f aca="false">IF(Setup!E23="","",Setup!E23)</f>
        <v>Emergency fund</v>
      </c>
      <c r="H25" s="22" t="n">
        <f aca="false">IF(G25="","",Setup!G23)</f>
        <v>200</v>
      </c>
      <c r="I25" s="22" t="n">
        <f aca="false">IF(G25="","",SUMIFS($E$7:$E$86,$D$7:$D$86,G25))</f>
        <v>0</v>
      </c>
      <c r="J25" s="22" t="n">
        <f aca="false">IF(G25="","",H25-I25)</f>
        <v>200</v>
      </c>
      <c r="K25" s="33" t="n">
        <f aca="false">IF(OR(G25="",H25=0),"",I25/H25)</f>
        <v>0</v>
      </c>
    </row>
    <row r="26" customFormat="false" ht="15" hidden="false" customHeight="false" outlineLevel="0" collapsed="false">
      <c r="B26" s="30"/>
      <c r="C26" s="17"/>
      <c r="D26" s="17"/>
      <c r="E26" s="26"/>
      <c r="G26" s="11" t="str">
        <f aca="false">IF(Setup!E24="","",Setup!E24)</f>
        <v>Sinking funds</v>
      </c>
      <c r="H26" s="22" t="n">
        <f aca="false">IF(G26="","",Setup!G24)</f>
        <v>100</v>
      </c>
      <c r="I26" s="22" t="n">
        <f aca="false">IF(G26="","",SUMIFS($E$7:$E$86,$D$7:$D$86,G26))</f>
        <v>0</v>
      </c>
      <c r="J26" s="22" t="n">
        <f aca="false">IF(G26="","",H26-I26)</f>
        <v>100</v>
      </c>
      <c r="K26" s="33" t="n">
        <f aca="false">IF(OR(G26="",H26=0),"",I26/H26)</f>
        <v>0</v>
      </c>
    </row>
    <row r="27" customFormat="false" ht="15" hidden="false" customHeight="false" outlineLevel="0" collapsed="false">
      <c r="B27" s="30"/>
      <c r="C27" s="17"/>
      <c r="D27" s="17"/>
      <c r="E27" s="26"/>
      <c r="G27" s="11" t="str">
        <f aca="false">IF(Setup!E25="","",Setup!E25)</f>
        <v>Retirement</v>
      </c>
      <c r="H27" s="22" t="n">
        <f aca="false">IF(G27="","",Setup!G25)</f>
        <v>150</v>
      </c>
      <c r="I27" s="22" t="n">
        <f aca="false">IF(G27="","",SUMIFS($E$7:$E$86,$D$7:$D$86,G27))</f>
        <v>0</v>
      </c>
      <c r="J27" s="22" t="n">
        <f aca="false">IF(G27="","",H27-I27)</f>
        <v>150</v>
      </c>
      <c r="K27" s="33" t="n">
        <f aca="false">IF(OR(G27="",H27=0),"",I27/H27)</f>
        <v>0</v>
      </c>
    </row>
    <row r="28" customFormat="false" ht="15" hidden="false" customHeight="false" outlineLevel="0" collapsed="false">
      <c r="B28" s="30"/>
      <c r="C28" s="17"/>
      <c r="D28" s="17"/>
      <c r="E28" s="26"/>
      <c r="G28" s="11" t="str">
        <f aca="false">IF(Setup!E26="","",Setup!E26)</f>
        <v>Credit card</v>
      </c>
      <c r="H28" s="22" t="n">
        <f aca="false">IF(G28="","",Setup!G26)</f>
        <v>150</v>
      </c>
      <c r="I28" s="22" t="n">
        <f aca="false">IF(G28="","",SUMIFS($E$7:$E$86,$D$7:$D$86,G28))</f>
        <v>0</v>
      </c>
      <c r="J28" s="22" t="n">
        <f aca="false">IF(G28="","",H28-I28)</f>
        <v>150</v>
      </c>
      <c r="K28" s="33" t="n">
        <f aca="false">IF(OR(G28="",H28=0),"",I28/H28)</f>
        <v>0</v>
      </c>
    </row>
    <row r="29" customFormat="false" ht="15" hidden="false" customHeight="false" outlineLevel="0" collapsed="false">
      <c r="B29" s="30"/>
      <c r="C29" s="17"/>
      <c r="D29" s="17"/>
      <c r="E29" s="26"/>
      <c r="G29" s="11" t="str">
        <f aca="false">IF(Setup!E27="","",Setup!E27)</f>
        <v>Student loan</v>
      </c>
      <c r="H29" s="22" t="n">
        <f aca="false">IF(G29="","",Setup!G27)</f>
        <v>180</v>
      </c>
      <c r="I29" s="22" t="n">
        <f aca="false">IF(G29="","",SUMIFS($E$7:$E$86,$D$7:$D$86,G29))</f>
        <v>0</v>
      </c>
      <c r="J29" s="22" t="n">
        <f aca="false">IF(G29="","",H29-I29)</f>
        <v>180</v>
      </c>
      <c r="K29" s="33" t="n">
        <f aca="false">IF(OR(G29="",H29=0),"",I29/H29)</f>
        <v>0</v>
      </c>
    </row>
    <row r="30" customFormat="false" ht="15" hidden="false" customHeight="false" outlineLevel="0" collapsed="false">
      <c r="B30" s="30"/>
      <c r="C30" s="17"/>
      <c r="D30" s="17"/>
      <c r="E30" s="26"/>
      <c r="G30" s="11" t="str">
        <f aca="false">IF(Setup!E28="","",Setup!E28)</f>
        <v/>
      </c>
      <c r="H30" s="22" t="str">
        <f aca="false">IF(G30="","",Setup!G28)</f>
        <v/>
      </c>
      <c r="I30" s="22" t="str">
        <f aca="false">IF(G30="","",SUMIFS($E$7:$E$86,$D$7:$D$86,G30))</f>
        <v/>
      </c>
      <c r="J30" s="22" t="str">
        <f aca="false">IF(G30="","",H30-I30)</f>
        <v/>
      </c>
      <c r="K30" s="33" t="str">
        <f aca="false">IF(OR(G30="",H30=0),"",I30/H30)</f>
        <v/>
      </c>
    </row>
    <row r="31" customFormat="false" ht="15" hidden="false" customHeight="false" outlineLevel="0" collapsed="false">
      <c r="B31" s="30"/>
      <c r="C31" s="17"/>
      <c r="D31" s="17"/>
      <c r="E31" s="26"/>
      <c r="G31" s="11" t="str">
        <f aca="false">IF(Setup!E29="","",Setup!E29)</f>
        <v/>
      </c>
      <c r="H31" s="22" t="str">
        <f aca="false">IF(G31="","",Setup!G29)</f>
        <v/>
      </c>
      <c r="I31" s="22" t="str">
        <f aca="false">IF(G31="","",SUMIFS($E$7:$E$86,$D$7:$D$86,G31))</f>
        <v/>
      </c>
      <c r="J31" s="22" t="str">
        <f aca="false">IF(G31="","",H31-I31)</f>
        <v/>
      </c>
      <c r="K31" s="33" t="str">
        <f aca="false">IF(OR(G31="",H31=0),"",I31/H31)</f>
        <v/>
      </c>
    </row>
    <row r="32" customFormat="false" ht="15" hidden="false" customHeight="false" outlineLevel="0" collapsed="false">
      <c r="B32" s="30"/>
      <c r="C32" s="17"/>
      <c r="D32" s="17"/>
      <c r="E32" s="26"/>
      <c r="G32" s="11" t="str">
        <f aca="false">IF(Setup!E30="","",Setup!E30)</f>
        <v/>
      </c>
      <c r="H32" s="22" t="str">
        <f aca="false">IF(G32="","",Setup!G30)</f>
        <v/>
      </c>
      <c r="I32" s="22" t="str">
        <f aca="false">IF(G32="","",SUMIFS($E$7:$E$86,$D$7:$D$86,G32))</f>
        <v/>
      </c>
      <c r="J32" s="22" t="str">
        <f aca="false">IF(G32="","",H32-I32)</f>
        <v/>
      </c>
      <c r="K32" s="33" t="str">
        <f aca="false">IF(OR(G32="",H32=0),"",I32/H32)</f>
        <v/>
      </c>
    </row>
    <row r="33" customFormat="false" ht="15" hidden="false" customHeight="false" outlineLevel="0" collapsed="false">
      <c r="B33" s="30"/>
      <c r="C33" s="17"/>
      <c r="D33" s="17"/>
      <c r="E33" s="26"/>
      <c r="G33" s="11" t="str">
        <f aca="false">IF(Setup!E31="","",Setup!E31)</f>
        <v/>
      </c>
      <c r="H33" s="22" t="str">
        <f aca="false">IF(G33="","",Setup!G31)</f>
        <v/>
      </c>
      <c r="I33" s="22" t="str">
        <f aca="false">IF(G33="","",SUMIFS($E$7:$E$86,$D$7:$D$86,G33))</f>
        <v/>
      </c>
      <c r="J33" s="22" t="str">
        <f aca="false">IF(G33="","",H33-I33)</f>
        <v/>
      </c>
      <c r="K33" s="33" t="str">
        <f aca="false">IF(OR(G33="",H33=0),"",I33/H33)</f>
        <v/>
      </c>
    </row>
    <row r="34" customFormat="false" ht="15" hidden="false" customHeight="false" outlineLevel="0" collapsed="false">
      <c r="B34" s="30"/>
      <c r="C34" s="17"/>
      <c r="D34" s="17"/>
      <c r="E34" s="26"/>
      <c r="G34" s="11" t="str">
        <f aca="false">IF(Setup!E32="","",Setup!E32)</f>
        <v/>
      </c>
      <c r="H34" s="22" t="str">
        <f aca="false">IF(G34="","",Setup!G32)</f>
        <v/>
      </c>
      <c r="I34" s="22" t="str">
        <f aca="false">IF(G34="","",SUMIFS($E$7:$E$86,$D$7:$D$86,G34))</f>
        <v/>
      </c>
      <c r="J34" s="22" t="str">
        <f aca="false">IF(G34="","",H34-I34)</f>
        <v/>
      </c>
      <c r="K34" s="33" t="str">
        <f aca="false">IF(OR(G34="",H34=0),"",I34/H34)</f>
        <v/>
      </c>
    </row>
    <row r="35" customFormat="false" ht="15" hidden="false" customHeight="false" outlineLevel="0" collapsed="false">
      <c r="B35" s="30"/>
      <c r="C35" s="17"/>
      <c r="D35" s="17"/>
      <c r="E35" s="26"/>
      <c r="G35" s="11" t="str">
        <f aca="false">IF(Setup!E33="","",Setup!E33)</f>
        <v/>
      </c>
      <c r="H35" s="22" t="str">
        <f aca="false">IF(G35="","",Setup!G33)</f>
        <v/>
      </c>
      <c r="I35" s="22" t="str">
        <f aca="false">IF(G35="","",SUMIFS($E$7:$E$86,$D$7:$D$86,G35))</f>
        <v/>
      </c>
      <c r="J35" s="22" t="str">
        <f aca="false">IF(G35="","",H35-I35)</f>
        <v/>
      </c>
      <c r="K35" s="33" t="str">
        <f aca="false">IF(OR(G35="",H35=0),"",I35/H35)</f>
        <v/>
      </c>
    </row>
    <row r="36" customFormat="false" ht="15" hidden="false" customHeight="false" outlineLevel="0" collapsed="false">
      <c r="B36" s="30"/>
      <c r="C36" s="17"/>
      <c r="D36" s="17"/>
      <c r="E36" s="26"/>
      <c r="G36" s="11" t="str">
        <f aca="false">IF(Setup!E34="","",Setup!E34)</f>
        <v/>
      </c>
      <c r="H36" s="22" t="str">
        <f aca="false">IF(G36="","",Setup!G34)</f>
        <v/>
      </c>
      <c r="I36" s="22" t="str">
        <f aca="false">IF(G36="","",SUMIFS($E$7:$E$86,$D$7:$D$86,G36))</f>
        <v/>
      </c>
      <c r="J36" s="22" t="str">
        <f aca="false">IF(G36="","",H36-I36)</f>
        <v/>
      </c>
      <c r="K36" s="33" t="str">
        <f aca="false">IF(OR(G36="",H36=0),"",I36/H36)</f>
        <v/>
      </c>
    </row>
    <row r="37" customFormat="false" ht="15" hidden="false" customHeight="false" outlineLevel="0" collapsed="false">
      <c r="B37" s="30"/>
      <c r="C37" s="17"/>
      <c r="D37" s="17"/>
      <c r="E37" s="26"/>
      <c r="G37" s="11" t="str">
        <f aca="false">IF(Setup!E35="","",Setup!E35)</f>
        <v/>
      </c>
      <c r="H37" s="22" t="str">
        <f aca="false">IF(G37="","",Setup!G35)</f>
        <v/>
      </c>
      <c r="I37" s="22" t="str">
        <f aca="false">IF(G37="","",SUMIFS($E$7:$E$86,$D$7:$D$86,G37))</f>
        <v/>
      </c>
      <c r="J37" s="22" t="str">
        <f aca="false">IF(G37="","",H37-I37)</f>
        <v/>
      </c>
      <c r="K37" s="33" t="str">
        <f aca="false">IF(OR(G37="",H37=0),"",I37/H37)</f>
        <v/>
      </c>
    </row>
    <row r="38" customFormat="false" ht="15" hidden="false" customHeight="false" outlineLevel="0" collapsed="false">
      <c r="B38" s="30"/>
      <c r="C38" s="17"/>
      <c r="D38" s="17"/>
      <c r="E38" s="26"/>
      <c r="G38" s="11" t="str">
        <f aca="false">IF(Setup!E36="","",Setup!E36)</f>
        <v/>
      </c>
      <c r="H38" s="22" t="str">
        <f aca="false">IF(G38="","",Setup!G36)</f>
        <v/>
      </c>
      <c r="I38" s="22" t="str">
        <f aca="false">IF(G38="","",SUMIFS($E$7:$E$86,$D$7:$D$86,G38))</f>
        <v/>
      </c>
      <c r="J38" s="22" t="str">
        <f aca="false">IF(G38="","",H38-I38)</f>
        <v/>
      </c>
      <c r="K38" s="33" t="str">
        <f aca="false">IF(OR(G38="",H38=0),"",I38/H38)</f>
        <v/>
      </c>
    </row>
    <row r="39" customFormat="false" ht="15" hidden="false" customHeight="false" outlineLevel="0" collapsed="false">
      <c r="B39" s="30"/>
      <c r="C39" s="17"/>
      <c r="D39" s="17"/>
      <c r="E39" s="26"/>
      <c r="G39" s="11" t="str">
        <f aca="false">IF(Setup!E37="","",Setup!E37)</f>
        <v/>
      </c>
      <c r="H39" s="22" t="str">
        <f aca="false">IF(G39="","",Setup!G37)</f>
        <v/>
      </c>
      <c r="I39" s="22" t="str">
        <f aca="false">IF(G39="","",SUMIFS($E$7:$E$86,$D$7:$D$86,G39))</f>
        <v/>
      </c>
      <c r="J39" s="22" t="str">
        <f aca="false">IF(G39="","",H39-I39)</f>
        <v/>
      </c>
      <c r="K39" s="33" t="str">
        <f aca="false">IF(OR(G39="",H39=0),"",I39/H39)</f>
        <v/>
      </c>
    </row>
    <row r="40" customFormat="false" ht="15" hidden="false" customHeight="false" outlineLevel="0" collapsed="false">
      <c r="B40" s="30"/>
      <c r="C40" s="17"/>
      <c r="D40" s="17"/>
      <c r="E40" s="26"/>
      <c r="G40" s="11" t="str">
        <f aca="false">IF(Setup!E38="","",Setup!E38)</f>
        <v/>
      </c>
      <c r="H40" s="22" t="str">
        <f aca="false">IF(G40="","",Setup!G38)</f>
        <v/>
      </c>
      <c r="I40" s="22" t="str">
        <f aca="false">IF(G40="","",SUMIFS($E$7:$E$86,$D$7:$D$86,G40))</f>
        <v/>
      </c>
      <c r="J40" s="22" t="str">
        <f aca="false">IF(G40="","",H40-I40)</f>
        <v/>
      </c>
      <c r="K40" s="33" t="str">
        <f aca="false">IF(OR(G40="",H40=0),"",I40/H40)</f>
        <v/>
      </c>
    </row>
    <row r="41" customFormat="false" ht="15" hidden="false" customHeight="false" outlineLevel="0" collapsed="false">
      <c r="B41" s="30"/>
      <c r="C41" s="17"/>
      <c r="D41" s="17"/>
      <c r="E41" s="26"/>
      <c r="G41" s="11" t="str">
        <f aca="false">IF(Setup!E39="","",Setup!E39)</f>
        <v/>
      </c>
      <c r="H41" s="22" t="str">
        <f aca="false">IF(G41="","",Setup!G39)</f>
        <v/>
      </c>
      <c r="I41" s="22" t="str">
        <f aca="false">IF(G41="","",SUMIFS($E$7:$E$86,$D$7:$D$86,G41))</f>
        <v/>
      </c>
      <c r="J41" s="22" t="str">
        <f aca="false">IF(G41="","",H41-I41)</f>
        <v/>
      </c>
      <c r="K41" s="33" t="str">
        <f aca="false">IF(OR(G41="",H41=0),"",I41/H41)</f>
        <v/>
      </c>
    </row>
    <row r="42" customFormat="false" ht="15" hidden="false" customHeight="false" outlineLevel="0" collapsed="false">
      <c r="B42" s="30"/>
      <c r="C42" s="17"/>
      <c r="D42" s="17"/>
      <c r="E42" s="26"/>
    </row>
    <row r="43" customFormat="false" ht="15" hidden="false" customHeight="false" outlineLevel="0" collapsed="false">
      <c r="B43" s="30"/>
      <c r="C43" s="17"/>
      <c r="D43" s="17"/>
      <c r="E43" s="26"/>
    </row>
    <row r="44" customFormat="false" ht="15" hidden="false" customHeight="false" outlineLevel="0" collapsed="false">
      <c r="B44" s="30"/>
      <c r="C44" s="17"/>
      <c r="D44" s="17"/>
      <c r="E44" s="26"/>
    </row>
    <row r="45" customFormat="false" ht="15" hidden="false" customHeight="false" outlineLevel="0" collapsed="false">
      <c r="B45" s="30"/>
      <c r="C45" s="17"/>
      <c r="D45" s="17"/>
      <c r="E45" s="26"/>
    </row>
    <row r="46" customFormat="false" ht="15" hidden="false" customHeight="false" outlineLevel="0" collapsed="false">
      <c r="B46" s="30"/>
      <c r="C46" s="17"/>
      <c r="D46" s="17"/>
      <c r="E46" s="26"/>
    </row>
    <row r="47" customFormat="false" ht="15" hidden="false" customHeight="false" outlineLevel="0" collapsed="false">
      <c r="B47" s="30"/>
      <c r="C47" s="17"/>
      <c r="D47" s="17"/>
      <c r="E47" s="26"/>
    </row>
    <row r="48" customFormat="false" ht="15" hidden="false" customHeight="false" outlineLevel="0" collapsed="false">
      <c r="B48" s="30"/>
      <c r="C48" s="17"/>
      <c r="D48" s="17"/>
      <c r="E48" s="26"/>
    </row>
    <row r="49" customFormat="false" ht="15" hidden="false" customHeight="false" outlineLevel="0" collapsed="false">
      <c r="B49" s="30"/>
      <c r="C49" s="17"/>
      <c r="D49" s="17"/>
      <c r="E49" s="26"/>
    </row>
    <row r="50" customFormat="false" ht="15" hidden="false" customHeight="false" outlineLevel="0" collapsed="false">
      <c r="B50" s="30"/>
      <c r="C50" s="17"/>
      <c r="D50" s="17"/>
      <c r="E50" s="26"/>
    </row>
    <row r="51" customFormat="false" ht="15" hidden="false" customHeight="false" outlineLevel="0" collapsed="false">
      <c r="B51" s="30"/>
      <c r="C51" s="17"/>
      <c r="D51" s="17"/>
      <c r="E51" s="26"/>
    </row>
    <row r="52" customFormat="false" ht="15" hidden="false" customHeight="false" outlineLevel="0" collapsed="false">
      <c r="B52" s="30"/>
      <c r="C52" s="17"/>
      <c r="D52" s="17"/>
      <c r="E52" s="26"/>
    </row>
    <row r="53" customFormat="false" ht="15" hidden="false" customHeight="false" outlineLevel="0" collapsed="false">
      <c r="B53" s="30"/>
      <c r="C53" s="17"/>
      <c r="D53" s="17"/>
      <c r="E53" s="26"/>
    </row>
    <row r="54" customFormat="false" ht="15" hidden="false" customHeight="false" outlineLevel="0" collapsed="false">
      <c r="B54" s="30"/>
      <c r="C54" s="17"/>
      <c r="D54" s="17"/>
      <c r="E54" s="26"/>
    </row>
    <row r="55" customFormat="false" ht="15" hidden="false" customHeight="false" outlineLevel="0" collapsed="false">
      <c r="B55" s="30"/>
      <c r="C55" s="17"/>
      <c r="D55" s="17"/>
      <c r="E55" s="26"/>
    </row>
    <row r="56" customFormat="false" ht="15" hidden="false" customHeight="false" outlineLevel="0" collapsed="false">
      <c r="B56" s="30"/>
      <c r="C56" s="17"/>
      <c r="D56" s="17"/>
      <c r="E56" s="26"/>
    </row>
    <row r="57" customFormat="false" ht="15" hidden="false" customHeight="false" outlineLevel="0" collapsed="false">
      <c r="B57" s="30"/>
      <c r="C57" s="17"/>
      <c r="D57" s="17"/>
      <c r="E57" s="26"/>
    </row>
    <row r="58" customFormat="false" ht="15" hidden="false" customHeight="false" outlineLevel="0" collapsed="false">
      <c r="B58" s="30"/>
      <c r="C58" s="17"/>
      <c r="D58" s="17"/>
      <c r="E58" s="26"/>
    </row>
    <row r="59" customFormat="false" ht="15" hidden="false" customHeight="false" outlineLevel="0" collapsed="false">
      <c r="B59" s="30"/>
      <c r="C59" s="17"/>
      <c r="D59" s="17"/>
      <c r="E59" s="26"/>
    </row>
    <row r="60" customFormat="false" ht="15" hidden="false" customHeight="false" outlineLevel="0" collapsed="false">
      <c r="B60" s="30"/>
      <c r="C60" s="17"/>
      <c r="D60" s="17"/>
      <c r="E60" s="26"/>
    </row>
    <row r="61" customFormat="false" ht="15" hidden="false" customHeight="false" outlineLevel="0" collapsed="false">
      <c r="B61" s="30"/>
      <c r="C61" s="17"/>
      <c r="D61" s="17"/>
      <c r="E61" s="26"/>
    </row>
    <row r="62" customFormat="false" ht="15" hidden="false" customHeight="false" outlineLevel="0" collapsed="false">
      <c r="B62" s="30"/>
      <c r="C62" s="17"/>
      <c r="D62" s="17"/>
      <c r="E62" s="26"/>
    </row>
    <row r="63" customFormat="false" ht="15" hidden="false" customHeight="false" outlineLevel="0" collapsed="false">
      <c r="B63" s="30"/>
      <c r="C63" s="17"/>
      <c r="D63" s="17"/>
      <c r="E63" s="26"/>
    </row>
    <row r="64" customFormat="false" ht="15" hidden="false" customHeight="false" outlineLevel="0" collapsed="false">
      <c r="B64" s="30"/>
      <c r="C64" s="17"/>
      <c r="D64" s="17"/>
      <c r="E64" s="26"/>
    </row>
    <row r="65" customFormat="false" ht="15" hidden="false" customHeight="false" outlineLevel="0" collapsed="false">
      <c r="B65" s="30"/>
      <c r="C65" s="17"/>
      <c r="D65" s="17"/>
      <c r="E65" s="26"/>
    </row>
    <row r="66" customFormat="false" ht="15" hidden="false" customHeight="false" outlineLevel="0" collapsed="false">
      <c r="B66" s="30"/>
      <c r="C66" s="17"/>
      <c r="D66" s="17"/>
      <c r="E66" s="26"/>
    </row>
    <row r="67" customFormat="false" ht="15" hidden="false" customHeight="false" outlineLevel="0" collapsed="false">
      <c r="B67" s="30"/>
      <c r="C67" s="17"/>
      <c r="D67" s="17"/>
      <c r="E67" s="26"/>
    </row>
    <row r="68" customFormat="false" ht="15" hidden="false" customHeight="false" outlineLevel="0" collapsed="false">
      <c r="B68" s="30"/>
      <c r="C68" s="17"/>
      <c r="D68" s="17"/>
      <c r="E68" s="26"/>
    </row>
    <row r="69" customFormat="false" ht="15" hidden="false" customHeight="false" outlineLevel="0" collapsed="false">
      <c r="B69" s="30"/>
      <c r="C69" s="17"/>
      <c r="D69" s="17"/>
      <c r="E69" s="26"/>
    </row>
    <row r="70" customFormat="false" ht="15" hidden="false" customHeight="false" outlineLevel="0" collapsed="false">
      <c r="B70" s="30"/>
      <c r="C70" s="17"/>
      <c r="D70" s="17"/>
      <c r="E70" s="26"/>
    </row>
    <row r="71" customFormat="false" ht="15" hidden="false" customHeight="false" outlineLevel="0" collapsed="false">
      <c r="B71" s="30"/>
      <c r="C71" s="17"/>
      <c r="D71" s="17"/>
      <c r="E71" s="26"/>
    </row>
    <row r="72" customFormat="false" ht="15" hidden="false" customHeight="false" outlineLevel="0" collapsed="false">
      <c r="B72" s="30"/>
      <c r="C72" s="17"/>
      <c r="D72" s="17"/>
      <c r="E72" s="26"/>
    </row>
    <row r="73" customFormat="false" ht="15" hidden="false" customHeight="false" outlineLevel="0" collapsed="false">
      <c r="B73" s="30"/>
      <c r="C73" s="17"/>
      <c r="D73" s="17"/>
      <c r="E73" s="26"/>
    </row>
    <row r="74" customFormat="false" ht="15" hidden="false" customHeight="false" outlineLevel="0" collapsed="false">
      <c r="B74" s="30"/>
      <c r="C74" s="17"/>
      <c r="D74" s="17"/>
      <c r="E74" s="26"/>
    </row>
    <row r="75" customFormat="false" ht="15" hidden="false" customHeight="false" outlineLevel="0" collapsed="false">
      <c r="B75" s="30"/>
      <c r="C75" s="17"/>
      <c r="D75" s="17"/>
      <c r="E75" s="26"/>
    </row>
    <row r="76" customFormat="false" ht="15" hidden="false" customHeight="false" outlineLevel="0" collapsed="false">
      <c r="B76" s="30"/>
      <c r="C76" s="17"/>
      <c r="D76" s="17"/>
      <c r="E76" s="26"/>
    </row>
    <row r="77" customFormat="false" ht="15" hidden="false" customHeight="false" outlineLevel="0" collapsed="false">
      <c r="B77" s="30"/>
      <c r="C77" s="17"/>
      <c r="D77" s="17"/>
      <c r="E77" s="26"/>
    </row>
    <row r="78" customFormat="false" ht="15" hidden="false" customHeight="false" outlineLevel="0" collapsed="false">
      <c r="B78" s="30"/>
      <c r="C78" s="17"/>
      <c r="D78" s="17"/>
      <c r="E78" s="26"/>
    </row>
    <row r="79" customFormat="false" ht="15" hidden="false" customHeight="false" outlineLevel="0" collapsed="false">
      <c r="B79" s="30"/>
      <c r="C79" s="17"/>
      <c r="D79" s="17"/>
      <c r="E79" s="26"/>
    </row>
    <row r="80" customFormat="false" ht="15" hidden="false" customHeight="false" outlineLevel="0" collapsed="false">
      <c r="B80" s="30"/>
      <c r="C80" s="17"/>
      <c r="D80" s="17"/>
      <c r="E80" s="26"/>
    </row>
    <row r="81" customFormat="false" ht="15" hidden="false" customHeight="false" outlineLevel="0" collapsed="false">
      <c r="B81" s="30"/>
      <c r="C81" s="17"/>
      <c r="D81" s="17"/>
      <c r="E81" s="26"/>
    </row>
    <row r="82" customFormat="false" ht="15" hidden="false" customHeight="false" outlineLevel="0" collapsed="false">
      <c r="B82" s="30"/>
      <c r="C82" s="17"/>
      <c r="D82" s="17"/>
      <c r="E82" s="26"/>
    </row>
    <row r="83" customFormat="false" ht="15" hidden="false" customHeight="false" outlineLevel="0" collapsed="false">
      <c r="B83" s="30"/>
      <c r="C83" s="17"/>
      <c r="D83" s="17"/>
      <c r="E83" s="26"/>
    </row>
    <row r="84" customFormat="false" ht="15" hidden="false" customHeight="false" outlineLevel="0" collapsed="false">
      <c r="B84" s="30"/>
      <c r="C84" s="17"/>
      <c r="D84" s="17"/>
      <c r="E84" s="26"/>
    </row>
    <row r="85" customFormat="false" ht="15" hidden="false" customHeight="false" outlineLevel="0" collapsed="false">
      <c r="B85" s="30"/>
      <c r="C85" s="17"/>
      <c r="D85" s="17"/>
      <c r="E85" s="26"/>
    </row>
    <row r="86" customFormat="false" ht="15" hidden="false" customHeight="false" outlineLevel="0" collapsed="false">
      <c r="B86" s="30"/>
      <c r="C86" s="17"/>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K12:K41">
    <cfRule type="dataBar" priority="4">
      <dataBar showValue="1" minLength="10" maxLength="90">
        <cfvo type="num" val="0"/>
        <cfvo type="num" val="1"/>
        <color rgb="FF2F6F5E"/>
      </dataBar>
      <extLst>
        <ext xmlns:x14="http://schemas.microsoft.com/office/spreadsheetml/2009/9/main" uri="{B025F937-C7B1-47D3-B67F-A62EFF666E3E}">
          <x14:id>{D93D6873-F82E-4AD4-A244-F9D21B99BB70}</x14:id>
        </ext>
      </extLst>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r:id="rId1" location="'Start%20here'!A1" display="Start here"/>
    <hyperlink ref="C4" r:id="rId2" location="'Dashboard'!A1" display="Dashboard"/>
    <hyperlink ref="D4" r:id="rId3" location="'Setup'!A1" display="Setup"/>
    <hyperlink ref="E4" r:id="rId4" location="'January'!A1" display="Months"/>
    <hyperlink ref="F4" r:id="rId5" location="'Bills'!A1" display="Bills"/>
    <hyperlink ref="G4" r:id="rId6" location="'Paycheck%20plan'!A1" display="Paycheck"/>
    <hyperlink ref="H4" r:id="rId7" location="'Debt%20payoff'!A1" display="Debt"/>
    <hyperlink ref="I4" r:id="rId8" location="'Savings%20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D93D6873-F82E-4AD4-A244-F9D21B99BB70}">
            <x14:dataBar minLength="10" maxLength="90" axisPosition="none" gradient="true">
              <x14:cfvo type="num">
                <xm:f>0</xm:f>
              </x14:cfvo>
              <x14:cfvo type="num">
                <xm:f>1</xm:f>
              </x14:cfvo>
              <x14:negativeFillColor rgb="FF2F6F5E"/>
              <x14:axisColor rgb="FF000000"/>
            </x14:dataBar>
          </x14:cfRule>
          <xm:sqref>K12:K41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K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10"/>
    <col collapsed="false" customWidth="true" hidden="false" outlineLevel="0" max="29" min="12" style="0" width="14"/>
  </cols>
  <sheetData>
    <row r="2" customFormat="false" ht="33.75" hidden="false" customHeight="true" outlineLevel="0" collapsed="false">
      <c r="B2" s="1" t="s">
        <v>38</v>
      </c>
    </row>
    <row r="3" customFormat="false" ht="15" hidden="false" customHeight="false" outlineLevel="0" collapsed="false">
      <c r="B3" s="2" t="s">
        <v>99</v>
      </c>
    </row>
    <row r="4" customFormat="false" ht="15" hidden="false" customHeight="false" outlineLevel="0" collapsed="false">
      <c r="B4" s="3" t="s">
        <v>2</v>
      </c>
      <c r="C4" s="3" t="s">
        <v>3</v>
      </c>
      <c r="D4" s="3" t="s">
        <v>4</v>
      </c>
      <c r="E4" s="3" t="s">
        <v>5</v>
      </c>
      <c r="F4" s="3" t="s">
        <v>6</v>
      </c>
      <c r="G4" s="3" t="s">
        <v>7</v>
      </c>
      <c r="H4" s="3" t="s">
        <v>8</v>
      </c>
      <c r="I4" s="3" t="s">
        <v>9</v>
      </c>
    </row>
    <row r="6" customFormat="false" ht="21.75" hidden="false" customHeight="true" outlineLevel="0" collapsed="false">
      <c r="B6" s="10" t="s">
        <v>100</v>
      </c>
      <c r="C6" s="10" t="s">
        <v>101</v>
      </c>
      <c r="D6" s="10" t="s">
        <v>64</v>
      </c>
      <c r="E6" s="10" t="s">
        <v>102</v>
      </c>
      <c r="G6" s="27" t="s">
        <v>103</v>
      </c>
      <c r="H6" s="28" t="n">
        <f aca="false">Setup!$C$18</f>
        <v>3900</v>
      </c>
      <c r="I6" s="29" t="s">
        <v>104</v>
      </c>
    </row>
    <row r="7" customFormat="false" ht="15" hidden="false" customHeight="false" outlineLevel="0" collapsed="false">
      <c r="B7" s="30"/>
      <c r="C7" s="17"/>
      <c r="D7" s="17"/>
      <c r="E7" s="26"/>
      <c r="G7" s="31" t="s">
        <v>61</v>
      </c>
      <c r="H7" s="32" t="n">
        <f aca="false">SUM(E7:E86)</f>
        <v>0</v>
      </c>
    </row>
    <row r="8" customFormat="false" ht="15" hidden="false" customHeight="false" outlineLevel="0" collapsed="false">
      <c r="B8" s="30"/>
      <c r="C8" s="17"/>
      <c r="D8" s="17"/>
      <c r="E8" s="26"/>
      <c r="G8" s="31" t="s">
        <v>62</v>
      </c>
      <c r="H8" s="32" t="n">
        <f aca="false">H6-H7</f>
        <v>3900</v>
      </c>
    </row>
    <row r="9" customFormat="false" ht="15" hidden="false" customHeight="false" outlineLevel="0" collapsed="false">
      <c r="B9" s="30"/>
      <c r="C9" s="17"/>
      <c r="D9" s="17"/>
      <c r="E9" s="26"/>
      <c r="G9" s="31" t="s">
        <v>108</v>
      </c>
      <c r="H9" s="32" t="n">
        <f aca="false">SUMPRODUCT(SUMIFS($E$7:$E$86,$D$7:$D$86,Setup!$E$10:$E$39)*((Setup!$F$10:$F$39="Savings")+(Setup!$F$10:$F$39="Debt")))</f>
        <v>0</v>
      </c>
    </row>
    <row r="10" customFormat="false" ht="15" hidden="false" customHeight="false" outlineLevel="0" collapsed="false">
      <c r="B10" s="30"/>
      <c r="C10" s="17"/>
      <c r="D10" s="17"/>
      <c r="E10" s="26"/>
    </row>
    <row r="11" customFormat="false" ht="21.75" hidden="false" customHeight="true" outlineLevel="0" collapsed="false">
      <c r="B11" s="30"/>
      <c r="C11" s="17"/>
      <c r="D11" s="17"/>
      <c r="E11" s="26"/>
      <c r="G11" s="10" t="s">
        <v>64</v>
      </c>
      <c r="H11" s="10" t="s">
        <v>110</v>
      </c>
      <c r="I11" s="10" t="s">
        <v>61</v>
      </c>
      <c r="J11" s="10" t="s">
        <v>111</v>
      </c>
      <c r="K11" s="10" t="s">
        <v>112</v>
      </c>
    </row>
    <row r="12" customFormat="false" ht="15" hidden="false" customHeight="false" outlineLevel="0" collapsed="false">
      <c r="B12" s="30"/>
      <c r="C12" s="17"/>
      <c r="D12" s="17"/>
      <c r="E12" s="26"/>
      <c r="G12" s="11" t="str">
        <f aca="false">IF(Setup!E10="","",Setup!E10)</f>
        <v>Rent or mortgage</v>
      </c>
      <c r="H12" s="22" t="n">
        <f aca="false">IF(G12="","",Setup!G10)</f>
        <v>1400</v>
      </c>
      <c r="I12" s="22" t="n">
        <f aca="false">IF(G12="","",SUMIFS($E$7:$E$86,$D$7:$D$86,G12))</f>
        <v>0</v>
      </c>
      <c r="J12" s="22" t="n">
        <f aca="false">IF(G12="","",H12-I12)</f>
        <v>1400</v>
      </c>
      <c r="K12" s="33" t="n">
        <f aca="false">IF(OR(G12="",H12=0),"",I12/H12)</f>
        <v>0</v>
      </c>
    </row>
    <row r="13" customFormat="false" ht="15" hidden="false" customHeight="false" outlineLevel="0" collapsed="false">
      <c r="B13" s="30"/>
      <c r="C13" s="17"/>
      <c r="D13" s="17"/>
      <c r="E13" s="26"/>
      <c r="G13" s="11" t="str">
        <f aca="false">IF(Setup!E11="","",Setup!E11)</f>
        <v>Utilities</v>
      </c>
      <c r="H13" s="22" t="n">
        <f aca="false">IF(G13="","",Setup!G11)</f>
        <v>180</v>
      </c>
      <c r="I13" s="22" t="n">
        <f aca="false">IF(G13="","",SUMIFS($E$7:$E$86,$D$7:$D$86,G13))</f>
        <v>0</v>
      </c>
      <c r="J13" s="22" t="n">
        <f aca="false">IF(G13="","",H13-I13)</f>
        <v>180</v>
      </c>
      <c r="K13" s="33" t="n">
        <f aca="false">IF(OR(G13="",H13=0),"",I13/H13)</f>
        <v>0</v>
      </c>
    </row>
    <row r="14" customFormat="false" ht="15" hidden="false" customHeight="false" outlineLevel="0" collapsed="false">
      <c r="B14" s="30"/>
      <c r="C14" s="17"/>
      <c r="D14" s="17"/>
      <c r="E14" s="26"/>
      <c r="G14" s="11" t="str">
        <f aca="false">IF(Setup!E12="","",Setup!E12)</f>
        <v>Groceries</v>
      </c>
      <c r="H14" s="22" t="n">
        <f aca="false">IF(G14="","",Setup!G12)</f>
        <v>500</v>
      </c>
      <c r="I14" s="22" t="n">
        <f aca="false">IF(G14="","",SUMIFS($E$7:$E$86,$D$7:$D$86,G14))</f>
        <v>0</v>
      </c>
      <c r="J14" s="22" t="n">
        <f aca="false">IF(G14="","",H14-I14)</f>
        <v>500</v>
      </c>
      <c r="K14" s="33" t="n">
        <f aca="false">IF(OR(G14="",H14=0),"",I14/H14)</f>
        <v>0</v>
      </c>
    </row>
    <row r="15" customFormat="false" ht="15" hidden="false" customHeight="false" outlineLevel="0" collapsed="false">
      <c r="B15" s="30"/>
      <c r="C15" s="17"/>
      <c r="D15" s="17"/>
      <c r="E15" s="26"/>
      <c r="G15" s="11" t="str">
        <f aca="false">IF(Setup!E13="","",Setup!E13)</f>
        <v>Transport</v>
      </c>
      <c r="H15" s="22" t="n">
        <f aca="false">IF(G15="","",Setup!G13)</f>
        <v>220</v>
      </c>
      <c r="I15" s="22" t="n">
        <f aca="false">IF(G15="","",SUMIFS($E$7:$E$86,$D$7:$D$86,G15))</f>
        <v>0</v>
      </c>
      <c r="J15" s="22" t="n">
        <f aca="false">IF(G15="","",H15-I15)</f>
        <v>220</v>
      </c>
      <c r="K15" s="33" t="n">
        <f aca="false">IF(OR(G15="",H15=0),"",I15/H15)</f>
        <v>0</v>
      </c>
    </row>
    <row r="16" customFormat="false" ht="15" hidden="false" customHeight="false" outlineLevel="0" collapsed="false">
      <c r="B16" s="30"/>
      <c r="C16" s="17"/>
      <c r="D16" s="17"/>
      <c r="E16" s="26"/>
      <c r="G16" s="11" t="str">
        <f aca="false">IF(Setup!E14="","",Setup!E14)</f>
        <v>Insurance</v>
      </c>
      <c r="H16" s="22" t="n">
        <f aca="false">IF(G16="","",Setup!G14)</f>
        <v>160</v>
      </c>
      <c r="I16" s="22" t="n">
        <f aca="false">IF(G16="","",SUMIFS($E$7:$E$86,$D$7:$D$86,G16))</f>
        <v>0</v>
      </c>
      <c r="J16" s="22" t="n">
        <f aca="false">IF(G16="","",H16-I16)</f>
        <v>160</v>
      </c>
      <c r="K16" s="33" t="n">
        <f aca="false">IF(OR(G16="",H16=0),"",I16/H16)</f>
        <v>0</v>
      </c>
    </row>
    <row r="17" customFormat="false" ht="15" hidden="false" customHeight="false" outlineLevel="0" collapsed="false">
      <c r="B17" s="30"/>
      <c r="C17" s="17"/>
      <c r="D17" s="17"/>
      <c r="E17" s="26"/>
      <c r="G17" s="11" t="str">
        <f aca="false">IF(Setup!E15="","",Setup!E15)</f>
        <v>Phone and internet</v>
      </c>
      <c r="H17" s="22" t="n">
        <f aca="false">IF(G17="","",Setup!G15)</f>
        <v>95</v>
      </c>
      <c r="I17" s="22" t="n">
        <f aca="false">IF(G17="","",SUMIFS($E$7:$E$86,$D$7:$D$86,G17))</f>
        <v>0</v>
      </c>
      <c r="J17" s="22" t="n">
        <f aca="false">IF(G17="","",H17-I17)</f>
        <v>95</v>
      </c>
      <c r="K17" s="33" t="n">
        <f aca="false">IF(OR(G17="",H17=0),"",I17/H17)</f>
        <v>0</v>
      </c>
    </row>
    <row r="18" customFormat="false" ht="15" hidden="false" customHeight="false" outlineLevel="0" collapsed="false">
      <c r="B18" s="30"/>
      <c r="C18" s="17"/>
      <c r="D18" s="17"/>
      <c r="E18" s="26"/>
      <c r="G18" s="11" t="str">
        <f aca="false">IF(Setup!E16="","",Setup!E16)</f>
        <v>Medical</v>
      </c>
      <c r="H18" s="22" t="n">
        <f aca="false">IF(G18="","",Setup!G16)</f>
        <v>60</v>
      </c>
      <c r="I18" s="22" t="n">
        <f aca="false">IF(G18="","",SUMIFS($E$7:$E$86,$D$7:$D$86,G18))</f>
        <v>0</v>
      </c>
      <c r="J18" s="22" t="n">
        <f aca="false">IF(G18="","",H18-I18)</f>
        <v>60</v>
      </c>
      <c r="K18" s="33" t="n">
        <f aca="false">IF(OR(G18="",H18=0),"",I18/H18)</f>
        <v>0</v>
      </c>
    </row>
    <row r="19" customFormat="false" ht="15" hidden="false" customHeight="false" outlineLevel="0" collapsed="false">
      <c r="B19" s="30"/>
      <c r="C19" s="17"/>
      <c r="D19" s="17"/>
      <c r="E19" s="26"/>
      <c r="G19" s="11" t="str">
        <f aca="false">IF(Setup!E17="","",Setup!E17)</f>
        <v>Eating out</v>
      </c>
      <c r="H19" s="22" t="n">
        <f aca="false">IF(G19="","",Setup!G17)</f>
        <v>150</v>
      </c>
      <c r="I19" s="22" t="n">
        <f aca="false">IF(G19="","",SUMIFS($E$7:$E$86,$D$7:$D$86,G19))</f>
        <v>0</v>
      </c>
      <c r="J19" s="22" t="n">
        <f aca="false">IF(G19="","",H19-I19)</f>
        <v>150</v>
      </c>
      <c r="K19" s="33" t="n">
        <f aca="false">IF(OR(G19="",H19=0),"",I19/H19)</f>
        <v>0</v>
      </c>
    </row>
    <row r="20" customFormat="false" ht="15" hidden="false" customHeight="false" outlineLevel="0" collapsed="false">
      <c r="B20" s="30"/>
      <c r="C20" s="17"/>
      <c r="D20" s="17"/>
      <c r="E20" s="26"/>
      <c r="G20" s="11" t="str">
        <f aca="false">IF(Setup!E18="","",Setup!E18)</f>
        <v>Shopping</v>
      </c>
      <c r="H20" s="22" t="n">
        <f aca="false">IF(G20="","",Setup!G18)</f>
        <v>120</v>
      </c>
      <c r="I20" s="22" t="n">
        <f aca="false">IF(G20="","",SUMIFS($E$7:$E$86,$D$7:$D$86,G20))</f>
        <v>0</v>
      </c>
      <c r="J20" s="22" t="n">
        <f aca="false">IF(G20="","",H20-I20)</f>
        <v>120</v>
      </c>
      <c r="K20" s="33" t="n">
        <f aca="false">IF(OR(G20="",H20=0),"",I20/H20)</f>
        <v>0</v>
      </c>
    </row>
    <row r="21" customFormat="false" ht="15" hidden="false" customHeight="false" outlineLevel="0" collapsed="false">
      <c r="B21" s="30"/>
      <c r="C21" s="17"/>
      <c r="D21" s="17"/>
      <c r="E21" s="26"/>
      <c r="G21" s="11" t="str">
        <f aca="false">IF(Setup!E19="","",Setup!E19)</f>
        <v>Subscriptions</v>
      </c>
      <c r="H21" s="22" t="n">
        <f aca="false">IF(G21="","",Setup!G19)</f>
        <v>45</v>
      </c>
      <c r="I21" s="22" t="n">
        <f aca="false">IF(G21="","",SUMIFS($E$7:$E$86,$D$7:$D$86,G21))</f>
        <v>0</v>
      </c>
      <c r="J21" s="22" t="n">
        <f aca="false">IF(G21="","",H21-I21)</f>
        <v>45</v>
      </c>
      <c r="K21" s="33" t="n">
        <f aca="false">IF(OR(G21="",H21=0),"",I21/H21)</f>
        <v>0</v>
      </c>
    </row>
    <row r="22" customFormat="false" ht="15" hidden="false" customHeight="false" outlineLevel="0" collapsed="false">
      <c r="B22" s="30"/>
      <c r="C22" s="17"/>
      <c r="D22" s="17"/>
      <c r="E22" s="26"/>
      <c r="G22" s="11" t="str">
        <f aca="false">IF(Setup!E20="","",Setup!E20)</f>
        <v>Fun</v>
      </c>
      <c r="H22" s="22" t="n">
        <f aca="false">IF(G22="","",Setup!G20)</f>
        <v>100</v>
      </c>
      <c r="I22" s="22" t="n">
        <f aca="false">IF(G22="","",SUMIFS($E$7:$E$86,$D$7:$D$86,G22))</f>
        <v>0</v>
      </c>
      <c r="J22" s="22" t="n">
        <f aca="false">IF(G22="","",H22-I22)</f>
        <v>100</v>
      </c>
      <c r="K22" s="33" t="n">
        <f aca="false">IF(OR(G22="",H22=0),"",I22/H22)</f>
        <v>0</v>
      </c>
    </row>
    <row r="23" customFormat="false" ht="15" hidden="false" customHeight="false" outlineLevel="0" collapsed="false">
      <c r="B23" s="30"/>
      <c r="C23" s="17"/>
      <c r="D23" s="17"/>
      <c r="E23" s="26"/>
      <c r="G23" s="11" t="str">
        <f aca="false">IF(Setup!E21="","",Setup!E21)</f>
        <v>Gifts</v>
      </c>
      <c r="H23" s="22" t="n">
        <f aca="false">IF(G23="","",Setup!G21)</f>
        <v>40</v>
      </c>
      <c r="I23" s="22" t="n">
        <f aca="false">IF(G23="","",SUMIFS($E$7:$E$86,$D$7:$D$86,G23))</f>
        <v>0</v>
      </c>
      <c r="J23" s="22" t="n">
        <f aca="false">IF(G23="","",H23-I23)</f>
        <v>40</v>
      </c>
      <c r="K23" s="33" t="n">
        <f aca="false">IF(OR(G23="",H23=0),"",I23/H23)</f>
        <v>0</v>
      </c>
    </row>
    <row r="24" customFormat="false" ht="15" hidden="false" customHeight="false" outlineLevel="0" collapsed="false">
      <c r="B24" s="30"/>
      <c r="C24" s="17"/>
      <c r="D24" s="17"/>
      <c r="E24" s="26"/>
      <c r="G24" s="11" t="str">
        <f aca="false">IF(Setup!E22="","",Setup!E22)</f>
        <v>Personal care</v>
      </c>
      <c r="H24" s="22" t="n">
        <f aca="false">IF(G24="","",Setup!G22)</f>
        <v>50</v>
      </c>
      <c r="I24" s="22" t="n">
        <f aca="false">IF(G24="","",SUMIFS($E$7:$E$86,$D$7:$D$86,G24))</f>
        <v>0</v>
      </c>
      <c r="J24" s="22" t="n">
        <f aca="false">IF(G24="","",H24-I24)</f>
        <v>50</v>
      </c>
      <c r="K24" s="33" t="n">
        <f aca="false">IF(OR(G24="",H24=0),"",I24/H24)</f>
        <v>0</v>
      </c>
    </row>
    <row r="25" customFormat="false" ht="15" hidden="false" customHeight="false" outlineLevel="0" collapsed="false">
      <c r="B25" s="30"/>
      <c r="C25" s="17"/>
      <c r="D25" s="17"/>
      <c r="E25" s="26"/>
      <c r="G25" s="11" t="str">
        <f aca="false">IF(Setup!E23="","",Setup!E23)</f>
        <v>Emergency fund</v>
      </c>
      <c r="H25" s="22" t="n">
        <f aca="false">IF(G25="","",Setup!G23)</f>
        <v>200</v>
      </c>
      <c r="I25" s="22" t="n">
        <f aca="false">IF(G25="","",SUMIFS($E$7:$E$86,$D$7:$D$86,G25))</f>
        <v>0</v>
      </c>
      <c r="J25" s="22" t="n">
        <f aca="false">IF(G25="","",H25-I25)</f>
        <v>200</v>
      </c>
      <c r="K25" s="33" t="n">
        <f aca="false">IF(OR(G25="",H25=0),"",I25/H25)</f>
        <v>0</v>
      </c>
    </row>
    <row r="26" customFormat="false" ht="15" hidden="false" customHeight="false" outlineLevel="0" collapsed="false">
      <c r="B26" s="30"/>
      <c r="C26" s="17"/>
      <c r="D26" s="17"/>
      <c r="E26" s="26"/>
      <c r="G26" s="11" t="str">
        <f aca="false">IF(Setup!E24="","",Setup!E24)</f>
        <v>Sinking funds</v>
      </c>
      <c r="H26" s="22" t="n">
        <f aca="false">IF(G26="","",Setup!G24)</f>
        <v>100</v>
      </c>
      <c r="I26" s="22" t="n">
        <f aca="false">IF(G26="","",SUMIFS($E$7:$E$86,$D$7:$D$86,G26))</f>
        <v>0</v>
      </c>
      <c r="J26" s="22" t="n">
        <f aca="false">IF(G26="","",H26-I26)</f>
        <v>100</v>
      </c>
      <c r="K26" s="33" t="n">
        <f aca="false">IF(OR(G26="",H26=0),"",I26/H26)</f>
        <v>0</v>
      </c>
    </row>
    <row r="27" customFormat="false" ht="15" hidden="false" customHeight="false" outlineLevel="0" collapsed="false">
      <c r="B27" s="30"/>
      <c r="C27" s="17"/>
      <c r="D27" s="17"/>
      <c r="E27" s="26"/>
      <c r="G27" s="11" t="str">
        <f aca="false">IF(Setup!E25="","",Setup!E25)</f>
        <v>Retirement</v>
      </c>
      <c r="H27" s="22" t="n">
        <f aca="false">IF(G27="","",Setup!G25)</f>
        <v>150</v>
      </c>
      <c r="I27" s="22" t="n">
        <f aca="false">IF(G27="","",SUMIFS($E$7:$E$86,$D$7:$D$86,G27))</f>
        <v>0</v>
      </c>
      <c r="J27" s="22" t="n">
        <f aca="false">IF(G27="","",H27-I27)</f>
        <v>150</v>
      </c>
      <c r="K27" s="33" t="n">
        <f aca="false">IF(OR(G27="",H27=0),"",I27/H27)</f>
        <v>0</v>
      </c>
    </row>
    <row r="28" customFormat="false" ht="15" hidden="false" customHeight="false" outlineLevel="0" collapsed="false">
      <c r="B28" s="30"/>
      <c r="C28" s="17"/>
      <c r="D28" s="17"/>
      <c r="E28" s="26"/>
      <c r="G28" s="11" t="str">
        <f aca="false">IF(Setup!E26="","",Setup!E26)</f>
        <v>Credit card</v>
      </c>
      <c r="H28" s="22" t="n">
        <f aca="false">IF(G28="","",Setup!G26)</f>
        <v>150</v>
      </c>
      <c r="I28" s="22" t="n">
        <f aca="false">IF(G28="","",SUMIFS($E$7:$E$86,$D$7:$D$86,G28))</f>
        <v>0</v>
      </c>
      <c r="J28" s="22" t="n">
        <f aca="false">IF(G28="","",H28-I28)</f>
        <v>150</v>
      </c>
      <c r="K28" s="33" t="n">
        <f aca="false">IF(OR(G28="",H28=0),"",I28/H28)</f>
        <v>0</v>
      </c>
    </row>
    <row r="29" customFormat="false" ht="15" hidden="false" customHeight="false" outlineLevel="0" collapsed="false">
      <c r="B29" s="30"/>
      <c r="C29" s="17"/>
      <c r="D29" s="17"/>
      <c r="E29" s="26"/>
      <c r="G29" s="11" t="str">
        <f aca="false">IF(Setup!E27="","",Setup!E27)</f>
        <v>Student loan</v>
      </c>
      <c r="H29" s="22" t="n">
        <f aca="false">IF(G29="","",Setup!G27)</f>
        <v>180</v>
      </c>
      <c r="I29" s="22" t="n">
        <f aca="false">IF(G29="","",SUMIFS($E$7:$E$86,$D$7:$D$86,G29))</f>
        <v>0</v>
      </c>
      <c r="J29" s="22" t="n">
        <f aca="false">IF(G29="","",H29-I29)</f>
        <v>180</v>
      </c>
      <c r="K29" s="33" t="n">
        <f aca="false">IF(OR(G29="",H29=0),"",I29/H29)</f>
        <v>0</v>
      </c>
    </row>
    <row r="30" customFormat="false" ht="15" hidden="false" customHeight="false" outlineLevel="0" collapsed="false">
      <c r="B30" s="30"/>
      <c r="C30" s="17"/>
      <c r="D30" s="17"/>
      <c r="E30" s="26"/>
      <c r="G30" s="11" t="str">
        <f aca="false">IF(Setup!E28="","",Setup!E28)</f>
        <v/>
      </c>
      <c r="H30" s="22" t="str">
        <f aca="false">IF(G30="","",Setup!G28)</f>
        <v/>
      </c>
      <c r="I30" s="22" t="str">
        <f aca="false">IF(G30="","",SUMIFS($E$7:$E$86,$D$7:$D$86,G30))</f>
        <v/>
      </c>
      <c r="J30" s="22" t="str">
        <f aca="false">IF(G30="","",H30-I30)</f>
        <v/>
      </c>
      <c r="K30" s="33" t="str">
        <f aca="false">IF(OR(G30="",H30=0),"",I30/H30)</f>
        <v/>
      </c>
    </row>
    <row r="31" customFormat="false" ht="15" hidden="false" customHeight="false" outlineLevel="0" collapsed="false">
      <c r="B31" s="30"/>
      <c r="C31" s="17"/>
      <c r="D31" s="17"/>
      <c r="E31" s="26"/>
      <c r="G31" s="11" t="str">
        <f aca="false">IF(Setup!E29="","",Setup!E29)</f>
        <v/>
      </c>
      <c r="H31" s="22" t="str">
        <f aca="false">IF(G31="","",Setup!G29)</f>
        <v/>
      </c>
      <c r="I31" s="22" t="str">
        <f aca="false">IF(G31="","",SUMIFS($E$7:$E$86,$D$7:$D$86,G31))</f>
        <v/>
      </c>
      <c r="J31" s="22" t="str">
        <f aca="false">IF(G31="","",H31-I31)</f>
        <v/>
      </c>
      <c r="K31" s="33" t="str">
        <f aca="false">IF(OR(G31="",H31=0),"",I31/H31)</f>
        <v/>
      </c>
    </row>
    <row r="32" customFormat="false" ht="15" hidden="false" customHeight="false" outlineLevel="0" collapsed="false">
      <c r="B32" s="30"/>
      <c r="C32" s="17"/>
      <c r="D32" s="17"/>
      <c r="E32" s="26"/>
      <c r="G32" s="11" t="str">
        <f aca="false">IF(Setup!E30="","",Setup!E30)</f>
        <v/>
      </c>
      <c r="H32" s="22" t="str">
        <f aca="false">IF(G32="","",Setup!G30)</f>
        <v/>
      </c>
      <c r="I32" s="22" t="str">
        <f aca="false">IF(G32="","",SUMIFS($E$7:$E$86,$D$7:$D$86,G32))</f>
        <v/>
      </c>
      <c r="J32" s="22" t="str">
        <f aca="false">IF(G32="","",H32-I32)</f>
        <v/>
      </c>
      <c r="K32" s="33" t="str">
        <f aca="false">IF(OR(G32="",H32=0),"",I32/H32)</f>
        <v/>
      </c>
    </row>
    <row r="33" customFormat="false" ht="15" hidden="false" customHeight="false" outlineLevel="0" collapsed="false">
      <c r="B33" s="30"/>
      <c r="C33" s="17"/>
      <c r="D33" s="17"/>
      <c r="E33" s="26"/>
      <c r="G33" s="11" t="str">
        <f aca="false">IF(Setup!E31="","",Setup!E31)</f>
        <v/>
      </c>
      <c r="H33" s="22" t="str">
        <f aca="false">IF(G33="","",Setup!G31)</f>
        <v/>
      </c>
      <c r="I33" s="22" t="str">
        <f aca="false">IF(G33="","",SUMIFS($E$7:$E$86,$D$7:$D$86,G33))</f>
        <v/>
      </c>
      <c r="J33" s="22" t="str">
        <f aca="false">IF(G33="","",H33-I33)</f>
        <v/>
      </c>
      <c r="K33" s="33" t="str">
        <f aca="false">IF(OR(G33="",H33=0),"",I33/H33)</f>
        <v/>
      </c>
    </row>
    <row r="34" customFormat="false" ht="15" hidden="false" customHeight="false" outlineLevel="0" collapsed="false">
      <c r="B34" s="30"/>
      <c r="C34" s="17"/>
      <c r="D34" s="17"/>
      <c r="E34" s="26"/>
      <c r="G34" s="11" t="str">
        <f aca="false">IF(Setup!E32="","",Setup!E32)</f>
        <v/>
      </c>
      <c r="H34" s="22" t="str">
        <f aca="false">IF(G34="","",Setup!G32)</f>
        <v/>
      </c>
      <c r="I34" s="22" t="str">
        <f aca="false">IF(G34="","",SUMIFS($E$7:$E$86,$D$7:$D$86,G34))</f>
        <v/>
      </c>
      <c r="J34" s="22" t="str">
        <f aca="false">IF(G34="","",H34-I34)</f>
        <v/>
      </c>
      <c r="K34" s="33" t="str">
        <f aca="false">IF(OR(G34="",H34=0),"",I34/H34)</f>
        <v/>
      </c>
    </row>
    <row r="35" customFormat="false" ht="15" hidden="false" customHeight="false" outlineLevel="0" collapsed="false">
      <c r="B35" s="30"/>
      <c r="C35" s="17"/>
      <c r="D35" s="17"/>
      <c r="E35" s="26"/>
      <c r="G35" s="11" t="str">
        <f aca="false">IF(Setup!E33="","",Setup!E33)</f>
        <v/>
      </c>
      <c r="H35" s="22" t="str">
        <f aca="false">IF(G35="","",Setup!G33)</f>
        <v/>
      </c>
      <c r="I35" s="22" t="str">
        <f aca="false">IF(G35="","",SUMIFS($E$7:$E$86,$D$7:$D$86,G35))</f>
        <v/>
      </c>
      <c r="J35" s="22" t="str">
        <f aca="false">IF(G35="","",H35-I35)</f>
        <v/>
      </c>
      <c r="K35" s="33" t="str">
        <f aca="false">IF(OR(G35="",H35=0),"",I35/H35)</f>
        <v/>
      </c>
    </row>
    <row r="36" customFormat="false" ht="15" hidden="false" customHeight="false" outlineLevel="0" collapsed="false">
      <c r="B36" s="30"/>
      <c r="C36" s="17"/>
      <c r="D36" s="17"/>
      <c r="E36" s="26"/>
      <c r="G36" s="11" t="str">
        <f aca="false">IF(Setup!E34="","",Setup!E34)</f>
        <v/>
      </c>
      <c r="H36" s="22" t="str">
        <f aca="false">IF(G36="","",Setup!G34)</f>
        <v/>
      </c>
      <c r="I36" s="22" t="str">
        <f aca="false">IF(G36="","",SUMIFS($E$7:$E$86,$D$7:$D$86,G36))</f>
        <v/>
      </c>
      <c r="J36" s="22" t="str">
        <f aca="false">IF(G36="","",H36-I36)</f>
        <v/>
      </c>
      <c r="K36" s="33" t="str">
        <f aca="false">IF(OR(G36="",H36=0),"",I36/H36)</f>
        <v/>
      </c>
    </row>
    <row r="37" customFormat="false" ht="15" hidden="false" customHeight="false" outlineLevel="0" collapsed="false">
      <c r="B37" s="30"/>
      <c r="C37" s="17"/>
      <c r="D37" s="17"/>
      <c r="E37" s="26"/>
      <c r="G37" s="11" t="str">
        <f aca="false">IF(Setup!E35="","",Setup!E35)</f>
        <v/>
      </c>
      <c r="H37" s="22" t="str">
        <f aca="false">IF(G37="","",Setup!G35)</f>
        <v/>
      </c>
      <c r="I37" s="22" t="str">
        <f aca="false">IF(G37="","",SUMIFS($E$7:$E$86,$D$7:$D$86,G37))</f>
        <v/>
      </c>
      <c r="J37" s="22" t="str">
        <f aca="false">IF(G37="","",H37-I37)</f>
        <v/>
      </c>
      <c r="K37" s="33" t="str">
        <f aca="false">IF(OR(G37="",H37=0),"",I37/H37)</f>
        <v/>
      </c>
    </row>
    <row r="38" customFormat="false" ht="15" hidden="false" customHeight="false" outlineLevel="0" collapsed="false">
      <c r="B38" s="30"/>
      <c r="C38" s="17"/>
      <c r="D38" s="17"/>
      <c r="E38" s="26"/>
      <c r="G38" s="11" t="str">
        <f aca="false">IF(Setup!E36="","",Setup!E36)</f>
        <v/>
      </c>
      <c r="H38" s="22" t="str">
        <f aca="false">IF(G38="","",Setup!G36)</f>
        <v/>
      </c>
      <c r="I38" s="22" t="str">
        <f aca="false">IF(G38="","",SUMIFS($E$7:$E$86,$D$7:$D$86,G38))</f>
        <v/>
      </c>
      <c r="J38" s="22" t="str">
        <f aca="false">IF(G38="","",H38-I38)</f>
        <v/>
      </c>
      <c r="K38" s="33" t="str">
        <f aca="false">IF(OR(G38="",H38=0),"",I38/H38)</f>
        <v/>
      </c>
    </row>
    <row r="39" customFormat="false" ht="15" hidden="false" customHeight="false" outlineLevel="0" collapsed="false">
      <c r="B39" s="30"/>
      <c r="C39" s="17"/>
      <c r="D39" s="17"/>
      <c r="E39" s="26"/>
      <c r="G39" s="11" t="str">
        <f aca="false">IF(Setup!E37="","",Setup!E37)</f>
        <v/>
      </c>
      <c r="H39" s="22" t="str">
        <f aca="false">IF(G39="","",Setup!G37)</f>
        <v/>
      </c>
      <c r="I39" s="22" t="str">
        <f aca="false">IF(G39="","",SUMIFS($E$7:$E$86,$D$7:$D$86,G39))</f>
        <v/>
      </c>
      <c r="J39" s="22" t="str">
        <f aca="false">IF(G39="","",H39-I39)</f>
        <v/>
      </c>
      <c r="K39" s="33" t="str">
        <f aca="false">IF(OR(G39="",H39=0),"",I39/H39)</f>
        <v/>
      </c>
    </row>
    <row r="40" customFormat="false" ht="15" hidden="false" customHeight="false" outlineLevel="0" collapsed="false">
      <c r="B40" s="30"/>
      <c r="C40" s="17"/>
      <c r="D40" s="17"/>
      <c r="E40" s="26"/>
      <c r="G40" s="11" t="str">
        <f aca="false">IF(Setup!E38="","",Setup!E38)</f>
        <v/>
      </c>
      <c r="H40" s="22" t="str">
        <f aca="false">IF(G40="","",Setup!G38)</f>
        <v/>
      </c>
      <c r="I40" s="22" t="str">
        <f aca="false">IF(G40="","",SUMIFS($E$7:$E$86,$D$7:$D$86,G40))</f>
        <v/>
      </c>
      <c r="J40" s="22" t="str">
        <f aca="false">IF(G40="","",H40-I40)</f>
        <v/>
      </c>
      <c r="K40" s="33" t="str">
        <f aca="false">IF(OR(G40="",H40=0),"",I40/H40)</f>
        <v/>
      </c>
    </row>
    <row r="41" customFormat="false" ht="15" hidden="false" customHeight="false" outlineLevel="0" collapsed="false">
      <c r="B41" s="30"/>
      <c r="C41" s="17"/>
      <c r="D41" s="17"/>
      <c r="E41" s="26"/>
      <c r="G41" s="11" t="str">
        <f aca="false">IF(Setup!E39="","",Setup!E39)</f>
        <v/>
      </c>
      <c r="H41" s="22" t="str">
        <f aca="false">IF(G41="","",Setup!G39)</f>
        <v/>
      </c>
      <c r="I41" s="22" t="str">
        <f aca="false">IF(G41="","",SUMIFS($E$7:$E$86,$D$7:$D$86,G41))</f>
        <v/>
      </c>
      <c r="J41" s="22" t="str">
        <f aca="false">IF(G41="","",H41-I41)</f>
        <v/>
      </c>
      <c r="K41" s="33" t="str">
        <f aca="false">IF(OR(G41="",H41=0),"",I41/H41)</f>
        <v/>
      </c>
    </row>
    <row r="42" customFormat="false" ht="15" hidden="false" customHeight="false" outlineLevel="0" collapsed="false">
      <c r="B42" s="30"/>
      <c r="C42" s="17"/>
      <c r="D42" s="17"/>
      <c r="E42" s="26"/>
    </row>
    <row r="43" customFormat="false" ht="15" hidden="false" customHeight="false" outlineLevel="0" collapsed="false">
      <c r="B43" s="30"/>
      <c r="C43" s="17"/>
      <c r="D43" s="17"/>
      <c r="E43" s="26"/>
    </row>
    <row r="44" customFormat="false" ht="15" hidden="false" customHeight="false" outlineLevel="0" collapsed="false">
      <c r="B44" s="30"/>
      <c r="C44" s="17"/>
      <c r="D44" s="17"/>
      <c r="E44" s="26"/>
    </row>
    <row r="45" customFormat="false" ht="15" hidden="false" customHeight="false" outlineLevel="0" collapsed="false">
      <c r="B45" s="30"/>
      <c r="C45" s="17"/>
      <c r="D45" s="17"/>
      <c r="E45" s="26"/>
    </row>
    <row r="46" customFormat="false" ht="15" hidden="false" customHeight="false" outlineLevel="0" collapsed="false">
      <c r="B46" s="30"/>
      <c r="C46" s="17"/>
      <c r="D46" s="17"/>
      <c r="E46" s="26"/>
    </row>
    <row r="47" customFormat="false" ht="15" hidden="false" customHeight="false" outlineLevel="0" collapsed="false">
      <c r="B47" s="30"/>
      <c r="C47" s="17"/>
      <c r="D47" s="17"/>
      <c r="E47" s="26"/>
    </row>
    <row r="48" customFormat="false" ht="15" hidden="false" customHeight="false" outlineLevel="0" collapsed="false">
      <c r="B48" s="30"/>
      <c r="C48" s="17"/>
      <c r="D48" s="17"/>
      <c r="E48" s="26"/>
    </row>
    <row r="49" customFormat="false" ht="15" hidden="false" customHeight="false" outlineLevel="0" collapsed="false">
      <c r="B49" s="30"/>
      <c r="C49" s="17"/>
      <c r="D49" s="17"/>
      <c r="E49" s="26"/>
    </row>
    <row r="50" customFormat="false" ht="15" hidden="false" customHeight="false" outlineLevel="0" collapsed="false">
      <c r="B50" s="30"/>
      <c r="C50" s="17"/>
      <c r="D50" s="17"/>
      <c r="E50" s="26"/>
    </row>
    <row r="51" customFormat="false" ht="15" hidden="false" customHeight="false" outlineLevel="0" collapsed="false">
      <c r="B51" s="30"/>
      <c r="C51" s="17"/>
      <c r="D51" s="17"/>
      <c r="E51" s="26"/>
    </row>
    <row r="52" customFormat="false" ht="15" hidden="false" customHeight="false" outlineLevel="0" collapsed="false">
      <c r="B52" s="30"/>
      <c r="C52" s="17"/>
      <c r="D52" s="17"/>
      <c r="E52" s="26"/>
    </row>
    <row r="53" customFormat="false" ht="15" hidden="false" customHeight="false" outlineLevel="0" collapsed="false">
      <c r="B53" s="30"/>
      <c r="C53" s="17"/>
      <c r="D53" s="17"/>
      <c r="E53" s="26"/>
    </row>
    <row r="54" customFormat="false" ht="15" hidden="false" customHeight="false" outlineLevel="0" collapsed="false">
      <c r="B54" s="30"/>
      <c r="C54" s="17"/>
      <c r="D54" s="17"/>
      <c r="E54" s="26"/>
    </row>
    <row r="55" customFormat="false" ht="15" hidden="false" customHeight="false" outlineLevel="0" collapsed="false">
      <c r="B55" s="30"/>
      <c r="C55" s="17"/>
      <c r="D55" s="17"/>
      <c r="E55" s="26"/>
    </row>
    <row r="56" customFormat="false" ht="15" hidden="false" customHeight="false" outlineLevel="0" collapsed="false">
      <c r="B56" s="30"/>
      <c r="C56" s="17"/>
      <c r="D56" s="17"/>
      <c r="E56" s="26"/>
    </row>
    <row r="57" customFormat="false" ht="15" hidden="false" customHeight="false" outlineLevel="0" collapsed="false">
      <c r="B57" s="30"/>
      <c r="C57" s="17"/>
      <c r="D57" s="17"/>
      <c r="E57" s="26"/>
    </row>
    <row r="58" customFormat="false" ht="15" hidden="false" customHeight="false" outlineLevel="0" collapsed="false">
      <c r="B58" s="30"/>
      <c r="C58" s="17"/>
      <c r="D58" s="17"/>
      <c r="E58" s="26"/>
    </row>
    <row r="59" customFormat="false" ht="15" hidden="false" customHeight="false" outlineLevel="0" collapsed="false">
      <c r="B59" s="30"/>
      <c r="C59" s="17"/>
      <c r="D59" s="17"/>
      <c r="E59" s="26"/>
    </row>
    <row r="60" customFormat="false" ht="15" hidden="false" customHeight="false" outlineLevel="0" collapsed="false">
      <c r="B60" s="30"/>
      <c r="C60" s="17"/>
      <c r="D60" s="17"/>
      <c r="E60" s="26"/>
    </row>
    <row r="61" customFormat="false" ht="15" hidden="false" customHeight="false" outlineLevel="0" collapsed="false">
      <c r="B61" s="30"/>
      <c r="C61" s="17"/>
      <c r="D61" s="17"/>
      <c r="E61" s="26"/>
    </row>
    <row r="62" customFormat="false" ht="15" hidden="false" customHeight="false" outlineLevel="0" collapsed="false">
      <c r="B62" s="30"/>
      <c r="C62" s="17"/>
      <c r="D62" s="17"/>
      <c r="E62" s="26"/>
    </row>
    <row r="63" customFormat="false" ht="15" hidden="false" customHeight="false" outlineLevel="0" collapsed="false">
      <c r="B63" s="30"/>
      <c r="C63" s="17"/>
      <c r="D63" s="17"/>
      <c r="E63" s="26"/>
    </row>
    <row r="64" customFormat="false" ht="15" hidden="false" customHeight="false" outlineLevel="0" collapsed="false">
      <c r="B64" s="30"/>
      <c r="C64" s="17"/>
      <c r="D64" s="17"/>
      <c r="E64" s="26"/>
    </row>
    <row r="65" customFormat="false" ht="15" hidden="false" customHeight="false" outlineLevel="0" collapsed="false">
      <c r="B65" s="30"/>
      <c r="C65" s="17"/>
      <c r="D65" s="17"/>
      <c r="E65" s="26"/>
    </row>
    <row r="66" customFormat="false" ht="15" hidden="false" customHeight="false" outlineLevel="0" collapsed="false">
      <c r="B66" s="30"/>
      <c r="C66" s="17"/>
      <c r="D66" s="17"/>
      <c r="E66" s="26"/>
    </row>
    <row r="67" customFormat="false" ht="15" hidden="false" customHeight="false" outlineLevel="0" collapsed="false">
      <c r="B67" s="30"/>
      <c r="C67" s="17"/>
      <c r="D67" s="17"/>
      <c r="E67" s="26"/>
    </row>
    <row r="68" customFormat="false" ht="15" hidden="false" customHeight="false" outlineLevel="0" collapsed="false">
      <c r="B68" s="30"/>
      <c r="C68" s="17"/>
      <c r="D68" s="17"/>
      <c r="E68" s="26"/>
    </row>
    <row r="69" customFormat="false" ht="15" hidden="false" customHeight="false" outlineLevel="0" collapsed="false">
      <c r="B69" s="30"/>
      <c r="C69" s="17"/>
      <c r="D69" s="17"/>
      <c r="E69" s="26"/>
    </row>
    <row r="70" customFormat="false" ht="15" hidden="false" customHeight="false" outlineLevel="0" collapsed="false">
      <c r="B70" s="30"/>
      <c r="C70" s="17"/>
      <c r="D70" s="17"/>
      <c r="E70" s="26"/>
    </row>
    <row r="71" customFormat="false" ht="15" hidden="false" customHeight="false" outlineLevel="0" collapsed="false">
      <c r="B71" s="30"/>
      <c r="C71" s="17"/>
      <c r="D71" s="17"/>
      <c r="E71" s="26"/>
    </row>
    <row r="72" customFormat="false" ht="15" hidden="false" customHeight="false" outlineLevel="0" collapsed="false">
      <c r="B72" s="30"/>
      <c r="C72" s="17"/>
      <c r="D72" s="17"/>
      <c r="E72" s="26"/>
    </row>
    <row r="73" customFormat="false" ht="15" hidden="false" customHeight="false" outlineLevel="0" collapsed="false">
      <c r="B73" s="30"/>
      <c r="C73" s="17"/>
      <c r="D73" s="17"/>
      <c r="E73" s="26"/>
    </row>
    <row r="74" customFormat="false" ht="15" hidden="false" customHeight="false" outlineLevel="0" collapsed="false">
      <c r="B74" s="30"/>
      <c r="C74" s="17"/>
      <c r="D74" s="17"/>
      <c r="E74" s="26"/>
    </row>
    <row r="75" customFormat="false" ht="15" hidden="false" customHeight="false" outlineLevel="0" collapsed="false">
      <c r="B75" s="30"/>
      <c r="C75" s="17"/>
      <c r="D75" s="17"/>
      <c r="E75" s="26"/>
    </row>
    <row r="76" customFormat="false" ht="15" hidden="false" customHeight="false" outlineLevel="0" collapsed="false">
      <c r="B76" s="30"/>
      <c r="C76" s="17"/>
      <c r="D76" s="17"/>
      <c r="E76" s="26"/>
    </row>
    <row r="77" customFormat="false" ht="15" hidden="false" customHeight="false" outlineLevel="0" collapsed="false">
      <c r="B77" s="30"/>
      <c r="C77" s="17"/>
      <c r="D77" s="17"/>
      <c r="E77" s="26"/>
    </row>
    <row r="78" customFormat="false" ht="15" hidden="false" customHeight="false" outlineLevel="0" collapsed="false">
      <c r="B78" s="30"/>
      <c r="C78" s="17"/>
      <c r="D78" s="17"/>
      <c r="E78" s="26"/>
    </row>
    <row r="79" customFormat="false" ht="15" hidden="false" customHeight="false" outlineLevel="0" collapsed="false">
      <c r="B79" s="30"/>
      <c r="C79" s="17"/>
      <c r="D79" s="17"/>
      <c r="E79" s="26"/>
    </row>
    <row r="80" customFormat="false" ht="15" hidden="false" customHeight="false" outlineLevel="0" collapsed="false">
      <c r="B80" s="30"/>
      <c r="C80" s="17"/>
      <c r="D80" s="17"/>
      <c r="E80" s="26"/>
    </row>
    <row r="81" customFormat="false" ht="15" hidden="false" customHeight="false" outlineLevel="0" collapsed="false">
      <c r="B81" s="30"/>
      <c r="C81" s="17"/>
      <c r="D81" s="17"/>
      <c r="E81" s="26"/>
    </row>
    <row r="82" customFormat="false" ht="15" hidden="false" customHeight="false" outlineLevel="0" collapsed="false">
      <c r="B82" s="30"/>
      <c r="C82" s="17"/>
      <c r="D82" s="17"/>
      <c r="E82" s="26"/>
    </row>
    <row r="83" customFormat="false" ht="15" hidden="false" customHeight="false" outlineLevel="0" collapsed="false">
      <c r="B83" s="30"/>
      <c r="C83" s="17"/>
      <c r="D83" s="17"/>
      <c r="E83" s="26"/>
    </row>
    <row r="84" customFormat="false" ht="15" hidden="false" customHeight="false" outlineLevel="0" collapsed="false">
      <c r="B84" s="30"/>
      <c r="C84" s="17"/>
      <c r="D84" s="17"/>
      <c r="E84" s="26"/>
    </row>
    <row r="85" customFormat="false" ht="15" hidden="false" customHeight="false" outlineLevel="0" collapsed="false">
      <c r="B85" s="30"/>
      <c r="C85" s="17"/>
      <c r="D85" s="17"/>
      <c r="E85" s="26"/>
    </row>
    <row r="86" customFormat="false" ht="15" hidden="false" customHeight="false" outlineLevel="0" collapsed="false">
      <c r="B86" s="30"/>
      <c r="C86" s="17"/>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K12:K41">
    <cfRule type="dataBar" priority="4">
      <dataBar showValue="1" minLength="10" maxLength="90">
        <cfvo type="num" val="0"/>
        <cfvo type="num" val="1"/>
        <color rgb="FF2F6F5E"/>
      </dataBar>
      <extLst>
        <ext xmlns:x14="http://schemas.microsoft.com/office/spreadsheetml/2009/9/main" uri="{B025F937-C7B1-47D3-B67F-A62EFF666E3E}">
          <x14:id>{8C34BB72-D0CD-4820-89E3-E85F4642F596}</x14:id>
        </ext>
      </extLst>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r:id="rId1" location="'Start%20here'!A1" display="Start here"/>
    <hyperlink ref="C4" r:id="rId2" location="'Dashboard'!A1" display="Dashboard"/>
    <hyperlink ref="D4" r:id="rId3" location="'Setup'!A1" display="Setup"/>
    <hyperlink ref="E4" r:id="rId4" location="'January'!A1" display="Months"/>
    <hyperlink ref="F4" r:id="rId5" location="'Bills'!A1" display="Bills"/>
    <hyperlink ref="G4" r:id="rId6" location="'Paycheck%20plan'!A1" display="Paycheck"/>
    <hyperlink ref="H4" r:id="rId7" location="'Debt%20payoff'!A1" display="Debt"/>
    <hyperlink ref="I4" r:id="rId8" location="'Savings%20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8C34BB72-D0CD-4820-89E3-E85F4642F596}">
            <x14:dataBar minLength="10" maxLength="90" axisPosition="none" gradient="true">
              <x14:cfvo type="num">
                <xm:f>0</xm:f>
              </x14:cfvo>
              <x14:cfvo type="num">
                <xm:f>1</xm:f>
              </x14:cfvo>
              <x14:negativeFillColor rgb="FF2F6F5E"/>
              <x14:axisColor rgb="FF000000"/>
            </x14:dataBar>
          </x14:cfRule>
          <xm:sqref>K12:K41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K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
    <col collapsed="false" customWidth="true" hidden="false" outlineLevel="0" max="3" min="3" style="0" width="26"/>
    <col collapsed="false" customWidth="true" hidden="false" outlineLevel="0" max="4" min="4" style="0" width="22"/>
    <col collapsed="false" customWidth="true" hidden="false" outlineLevel="0" max="6" min="5" style="0" width="14"/>
    <col collapsed="false" customWidth="true" hidden="false" outlineLevel="0" max="7" min="7" style="0" width="22"/>
    <col collapsed="false" customWidth="true" hidden="false" outlineLevel="0" max="10" min="8" style="0" width="13"/>
    <col collapsed="false" customWidth="true" hidden="false" outlineLevel="0" max="11" min="11" style="0" width="10"/>
    <col collapsed="false" customWidth="true" hidden="false" outlineLevel="0" max="29" min="12" style="0" width="14"/>
  </cols>
  <sheetData>
    <row r="2" customFormat="false" ht="33.75" hidden="false" customHeight="true" outlineLevel="0" collapsed="false">
      <c r="B2" s="1" t="s">
        <v>40</v>
      </c>
    </row>
    <row r="3" customFormat="false" ht="15" hidden="false" customHeight="false" outlineLevel="0" collapsed="false">
      <c r="B3" s="2" t="s">
        <v>99</v>
      </c>
    </row>
    <row r="4" customFormat="false" ht="15" hidden="false" customHeight="false" outlineLevel="0" collapsed="false">
      <c r="B4" s="3" t="s">
        <v>2</v>
      </c>
      <c r="C4" s="3" t="s">
        <v>3</v>
      </c>
      <c r="D4" s="3" t="s">
        <v>4</v>
      </c>
      <c r="E4" s="3" t="s">
        <v>5</v>
      </c>
      <c r="F4" s="3" t="s">
        <v>6</v>
      </c>
      <c r="G4" s="3" t="s">
        <v>7</v>
      </c>
      <c r="H4" s="3" t="s">
        <v>8</v>
      </c>
      <c r="I4" s="3" t="s">
        <v>9</v>
      </c>
    </row>
    <row r="6" customFormat="false" ht="21.75" hidden="false" customHeight="true" outlineLevel="0" collapsed="false">
      <c r="B6" s="10" t="s">
        <v>100</v>
      </c>
      <c r="C6" s="10" t="s">
        <v>101</v>
      </c>
      <c r="D6" s="10" t="s">
        <v>64</v>
      </c>
      <c r="E6" s="10" t="s">
        <v>102</v>
      </c>
      <c r="G6" s="27" t="s">
        <v>103</v>
      </c>
      <c r="H6" s="28" t="n">
        <f aca="false">Setup!$C$18</f>
        <v>3900</v>
      </c>
      <c r="I6" s="29" t="s">
        <v>104</v>
      </c>
    </row>
    <row r="7" customFormat="false" ht="15" hidden="false" customHeight="false" outlineLevel="0" collapsed="false">
      <c r="B7" s="30"/>
      <c r="C7" s="17"/>
      <c r="D7" s="17"/>
      <c r="E7" s="26"/>
      <c r="G7" s="31" t="s">
        <v>61</v>
      </c>
      <c r="H7" s="32" t="n">
        <f aca="false">SUM(E7:E86)</f>
        <v>0</v>
      </c>
    </row>
    <row r="8" customFormat="false" ht="15" hidden="false" customHeight="false" outlineLevel="0" collapsed="false">
      <c r="B8" s="30"/>
      <c r="C8" s="17"/>
      <c r="D8" s="17"/>
      <c r="E8" s="26"/>
      <c r="G8" s="31" t="s">
        <v>62</v>
      </c>
      <c r="H8" s="32" t="n">
        <f aca="false">H6-H7</f>
        <v>3900</v>
      </c>
    </row>
    <row r="9" customFormat="false" ht="15" hidden="false" customHeight="false" outlineLevel="0" collapsed="false">
      <c r="B9" s="30"/>
      <c r="C9" s="17"/>
      <c r="D9" s="17"/>
      <c r="E9" s="26"/>
      <c r="G9" s="31" t="s">
        <v>108</v>
      </c>
      <c r="H9" s="32" t="n">
        <f aca="false">SUMPRODUCT(SUMIFS($E$7:$E$86,$D$7:$D$86,Setup!$E$10:$E$39)*((Setup!$F$10:$F$39="Savings")+(Setup!$F$10:$F$39="Debt")))</f>
        <v>0</v>
      </c>
    </row>
    <row r="10" customFormat="false" ht="15" hidden="false" customHeight="false" outlineLevel="0" collapsed="false">
      <c r="B10" s="30"/>
      <c r="C10" s="17"/>
      <c r="D10" s="17"/>
      <c r="E10" s="26"/>
    </row>
    <row r="11" customFormat="false" ht="21.75" hidden="false" customHeight="true" outlineLevel="0" collapsed="false">
      <c r="B11" s="30"/>
      <c r="C11" s="17"/>
      <c r="D11" s="17"/>
      <c r="E11" s="26"/>
      <c r="G11" s="10" t="s">
        <v>64</v>
      </c>
      <c r="H11" s="10" t="s">
        <v>110</v>
      </c>
      <c r="I11" s="10" t="s">
        <v>61</v>
      </c>
      <c r="J11" s="10" t="s">
        <v>111</v>
      </c>
      <c r="K11" s="10" t="s">
        <v>112</v>
      </c>
    </row>
    <row r="12" customFormat="false" ht="15" hidden="false" customHeight="false" outlineLevel="0" collapsed="false">
      <c r="B12" s="30"/>
      <c r="C12" s="17"/>
      <c r="D12" s="17"/>
      <c r="E12" s="26"/>
      <c r="G12" s="11" t="str">
        <f aca="false">IF(Setup!E10="","",Setup!E10)</f>
        <v>Rent or mortgage</v>
      </c>
      <c r="H12" s="22" t="n">
        <f aca="false">IF(G12="","",Setup!G10)</f>
        <v>1400</v>
      </c>
      <c r="I12" s="22" t="n">
        <f aca="false">IF(G12="","",SUMIFS($E$7:$E$86,$D$7:$D$86,G12))</f>
        <v>0</v>
      </c>
      <c r="J12" s="22" t="n">
        <f aca="false">IF(G12="","",H12-I12)</f>
        <v>1400</v>
      </c>
      <c r="K12" s="33" t="n">
        <f aca="false">IF(OR(G12="",H12=0),"",I12/H12)</f>
        <v>0</v>
      </c>
    </row>
    <row r="13" customFormat="false" ht="15" hidden="false" customHeight="false" outlineLevel="0" collapsed="false">
      <c r="B13" s="30"/>
      <c r="C13" s="17"/>
      <c r="D13" s="17"/>
      <c r="E13" s="26"/>
      <c r="G13" s="11" t="str">
        <f aca="false">IF(Setup!E11="","",Setup!E11)</f>
        <v>Utilities</v>
      </c>
      <c r="H13" s="22" t="n">
        <f aca="false">IF(G13="","",Setup!G11)</f>
        <v>180</v>
      </c>
      <c r="I13" s="22" t="n">
        <f aca="false">IF(G13="","",SUMIFS($E$7:$E$86,$D$7:$D$86,G13))</f>
        <v>0</v>
      </c>
      <c r="J13" s="22" t="n">
        <f aca="false">IF(G13="","",H13-I13)</f>
        <v>180</v>
      </c>
      <c r="K13" s="33" t="n">
        <f aca="false">IF(OR(G13="",H13=0),"",I13/H13)</f>
        <v>0</v>
      </c>
    </row>
    <row r="14" customFormat="false" ht="15" hidden="false" customHeight="false" outlineLevel="0" collapsed="false">
      <c r="B14" s="30"/>
      <c r="C14" s="17"/>
      <c r="D14" s="17"/>
      <c r="E14" s="26"/>
      <c r="G14" s="11" t="str">
        <f aca="false">IF(Setup!E12="","",Setup!E12)</f>
        <v>Groceries</v>
      </c>
      <c r="H14" s="22" t="n">
        <f aca="false">IF(G14="","",Setup!G12)</f>
        <v>500</v>
      </c>
      <c r="I14" s="22" t="n">
        <f aca="false">IF(G14="","",SUMIFS($E$7:$E$86,$D$7:$D$86,G14))</f>
        <v>0</v>
      </c>
      <c r="J14" s="22" t="n">
        <f aca="false">IF(G14="","",H14-I14)</f>
        <v>500</v>
      </c>
      <c r="K14" s="33" t="n">
        <f aca="false">IF(OR(G14="",H14=0),"",I14/H14)</f>
        <v>0</v>
      </c>
    </row>
    <row r="15" customFormat="false" ht="15" hidden="false" customHeight="false" outlineLevel="0" collapsed="false">
      <c r="B15" s="30"/>
      <c r="C15" s="17"/>
      <c r="D15" s="17"/>
      <c r="E15" s="26"/>
      <c r="G15" s="11" t="str">
        <f aca="false">IF(Setup!E13="","",Setup!E13)</f>
        <v>Transport</v>
      </c>
      <c r="H15" s="22" t="n">
        <f aca="false">IF(G15="","",Setup!G13)</f>
        <v>220</v>
      </c>
      <c r="I15" s="22" t="n">
        <f aca="false">IF(G15="","",SUMIFS($E$7:$E$86,$D$7:$D$86,G15))</f>
        <v>0</v>
      </c>
      <c r="J15" s="22" t="n">
        <f aca="false">IF(G15="","",H15-I15)</f>
        <v>220</v>
      </c>
      <c r="K15" s="33" t="n">
        <f aca="false">IF(OR(G15="",H15=0),"",I15/H15)</f>
        <v>0</v>
      </c>
    </row>
    <row r="16" customFormat="false" ht="15" hidden="false" customHeight="false" outlineLevel="0" collapsed="false">
      <c r="B16" s="30"/>
      <c r="C16" s="17"/>
      <c r="D16" s="17"/>
      <c r="E16" s="26"/>
      <c r="G16" s="11" t="str">
        <f aca="false">IF(Setup!E14="","",Setup!E14)</f>
        <v>Insurance</v>
      </c>
      <c r="H16" s="22" t="n">
        <f aca="false">IF(G16="","",Setup!G14)</f>
        <v>160</v>
      </c>
      <c r="I16" s="22" t="n">
        <f aca="false">IF(G16="","",SUMIFS($E$7:$E$86,$D$7:$D$86,G16))</f>
        <v>0</v>
      </c>
      <c r="J16" s="22" t="n">
        <f aca="false">IF(G16="","",H16-I16)</f>
        <v>160</v>
      </c>
      <c r="K16" s="33" t="n">
        <f aca="false">IF(OR(G16="",H16=0),"",I16/H16)</f>
        <v>0</v>
      </c>
    </row>
    <row r="17" customFormat="false" ht="15" hidden="false" customHeight="false" outlineLevel="0" collapsed="false">
      <c r="B17" s="30"/>
      <c r="C17" s="17"/>
      <c r="D17" s="17"/>
      <c r="E17" s="26"/>
      <c r="G17" s="11" t="str">
        <f aca="false">IF(Setup!E15="","",Setup!E15)</f>
        <v>Phone and internet</v>
      </c>
      <c r="H17" s="22" t="n">
        <f aca="false">IF(G17="","",Setup!G15)</f>
        <v>95</v>
      </c>
      <c r="I17" s="22" t="n">
        <f aca="false">IF(G17="","",SUMIFS($E$7:$E$86,$D$7:$D$86,G17))</f>
        <v>0</v>
      </c>
      <c r="J17" s="22" t="n">
        <f aca="false">IF(G17="","",H17-I17)</f>
        <v>95</v>
      </c>
      <c r="K17" s="33" t="n">
        <f aca="false">IF(OR(G17="",H17=0),"",I17/H17)</f>
        <v>0</v>
      </c>
    </row>
    <row r="18" customFormat="false" ht="15" hidden="false" customHeight="false" outlineLevel="0" collapsed="false">
      <c r="B18" s="30"/>
      <c r="C18" s="17"/>
      <c r="D18" s="17"/>
      <c r="E18" s="26"/>
      <c r="G18" s="11" t="str">
        <f aca="false">IF(Setup!E16="","",Setup!E16)</f>
        <v>Medical</v>
      </c>
      <c r="H18" s="22" t="n">
        <f aca="false">IF(G18="","",Setup!G16)</f>
        <v>60</v>
      </c>
      <c r="I18" s="22" t="n">
        <f aca="false">IF(G18="","",SUMIFS($E$7:$E$86,$D$7:$D$86,G18))</f>
        <v>0</v>
      </c>
      <c r="J18" s="22" t="n">
        <f aca="false">IF(G18="","",H18-I18)</f>
        <v>60</v>
      </c>
      <c r="K18" s="33" t="n">
        <f aca="false">IF(OR(G18="",H18=0),"",I18/H18)</f>
        <v>0</v>
      </c>
    </row>
    <row r="19" customFormat="false" ht="15" hidden="false" customHeight="false" outlineLevel="0" collapsed="false">
      <c r="B19" s="30"/>
      <c r="C19" s="17"/>
      <c r="D19" s="17"/>
      <c r="E19" s="26"/>
      <c r="G19" s="11" t="str">
        <f aca="false">IF(Setup!E17="","",Setup!E17)</f>
        <v>Eating out</v>
      </c>
      <c r="H19" s="22" t="n">
        <f aca="false">IF(G19="","",Setup!G17)</f>
        <v>150</v>
      </c>
      <c r="I19" s="22" t="n">
        <f aca="false">IF(G19="","",SUMIFS($E$7:$E$86,$D$7:$D$86,G19))</f>
        <v>0</v>
      </c>
      <c r="J19" s="22" t="n">
        <f aca="false">IF(G19="","",H19-I19)</f>
        <v>150</v>
      </c>
      <c r="K19" s="33" t="n">
        <f aca="false">IF(OR(G19="",H19=0),"",I19/H19)</f>
        <v>0</v>
      </c>
    </row>
    <row r="20" customFormat="false" ht="15" hidden="false" customHeight="false" outlineLevel="0" collapsed="false">
      <c r="B20" s="30"/>
      <c r="C20" s="17"/>
      <c r="D20" s="17"/>
      <c r="E20" s="26"/>
      <c r="G20" s="11" t="str">
        <f aca="false">IF(Setup!E18="","",Setup!E18)</f>
        <v>Shopping</v>
      </c>
      <c r="H20" s="22" t="n">
        <f aca="false">IF(G20="","",Setup!G18)</f>
        <v>120</v>
      </c>
      <c r="I20" s="22" t="n">
        <f aca="false">IF(G20="","",SUMIFS($E$7:$E$86,$D$7:$D$86,G20))</f>
        <v>0</v>
      </c>
      <c r="J20" s="22" t="n">
        <f aca="false">IF(G20="","",H20-I20)</f>
        <v>120</v>
      </c>
      <c r="K20" s="33" t="n">
        <f aca="false">IF(OR(G20="",H20=0),"",I20/H20)</f>
        <v>0</v>
      </c>
    </row>
    <row r="21" customFormat="false" ht="15" hidden="false" customHeight="false" outlineLevel="0" collapsed="false">
      <c r="B21" s="30"/>
      <c r="C21" s="17"/>
      <c r="D21" s="17"/>
      <c r="E21" s="26"/>
      <c r="G21" s="11" t="str">
        <f aca="false">IF(Setup!E19="","",Setup!E19)</f>
        <v>Subscriptions</v>
      </c>
      <c r="H21" s="22" t="n">
        <f aca="false">IF(G21="","",Setup!G19)</f>
        <v>45</v>
      </c>
      <c r="I21" s="22" t="n">
        <f aca="false">IF(G21="","",SUMIFS($E$7:$E$86,$D$7:$D$86,G21))</f>
        <v>0</v>
      </c>
      <c r="J21" s="22" t="n">
        <f aca="false">IF(G21="","",H21-I21)</f>
        <v>45</v>
      </c>
      <c r="K21" s="33" t="n">
        <f aca="false">IF(OR(G21="",H21=0),"",I21/H21)</f>
        <v>0</v>
      </c>
    </row>
    <row r="22" customFormat="false" ht="15" hidden="false" customHeight="false" outlineLevel="0" collapsed="false">
      <c r="B22" s="30"/>
      <c r="C22" s="17"/>
      <c r="D22" s="17"/>
      <c r="E22" s="26"/>
      <c r="G22" s="11" t="str">
        <f aca="false">IF(Setup!E20="","",Setup!E20)</f>
        <v>Fun</v>
      </c>
      <c r="H22" s="22" t="n">
        <f aca="false">IF(G22="","",Setup!G20)</f>
        <v>100</v>
      </c>
      <c r="I22" s="22" t="n">
        <f aca="false">IF(G22="","",SUMIFS($E$7:$E$86,$D$7:$D$86,G22))</f>
        <v>0</v>
      </c>
      <c r="J22" s="22" t="n">
        <f aca="false">IF(G22="","",H22-I22)</f>
        <v>100</v>
      </c>
      <c r="K22" s="33" t="n">
        <f aca="false">IF(OR(G22="",H22=0),"",I22/H22)</f>
        <v>0</v>
      </c>
    </row>
    <row r="23" customFormat="false" ht="15" hidden="false" customHeight="false" outlineLevel="0" collapsed="false">
      <c r="B23" s="30"/>
      <c r="C23" s="17"/>
      <c r="D23" s="17"/>
      <c r="E23" s="26"/>
      <c r="G23" s="11" t="str">
        <f aca="false">IF(Setup!E21="","",Setup!E21)</f>
        <v>Gifts</v>
      </c>
      <c r="H23" s="22" t="n">
        <f aca="false">IF(G23="","",Setup!G21)</f>
        <v>40</v>
      </c>
      <c r="I23" s="22" t="n">
        <f aca="false">IF(G23="","",SUMIFS($E$7:$E$86,$D$7:$D$86,G23))</f>
        <v>0</v>
      </c>
      <c r="J23" s="22" t="n">
        <f aca="false">IF(G23="","",H23-I23)</f>
        <v>40</v>
      </c>
      <c r="K23" s="33" t="n">
        <f aca="false">IF(OR(G23="",H23=0),"",I23/H23)</f>
        <v>0</v>
      </c>
    </row>
    <row r="24" customFormat="false" ht="15" hidden="false" customHeight="false" outlineLevel="0" collapsed="false">
      <c r="B24" s="30"/>
      <c r="C24" s="17"/>
      <c r="D24" s="17"/>
      <c r="E24" s="26"/>
      <c r="G24" s="11" t="str">
        <f aca="false">IF(Setup!E22="","",Setup!E22)</f>
        <v>Personal care</v>
      </c>
      <c r="H24" s="22" t="n">
        <f aca="false">IF(G24="","",Setup!G22)</f>
        <v>50</v>
      </c>
      <c r="I24" s="22" t="n">
        <f aca="false">IF(G24="","",SUMIFS($E$7:$E$86,$D$7:$D$86,G24))</f>
        <v>0</v>
      </c>
      <c r="J24" s="22" t="n">
        <f aca="false">IF(G24="","",H24-I24)</f>
        <v>50</v>
      </c>
      <c r="K24" s="33" t="n">
        <f aca="false">IF(OR(G24="",H24=0),"",I24/H24)</f>
        <v>0</v>
      </c>
    </row>
    <row r="25" customFormat="false" ht="15" hidden="false" customHeight="false" outlineLevel="0" collapsed="false">
      <c r="B25" s="30"/>
      <c r="C25" s="17"/>
      <c r="D25" s="17"/>
      <c r="E25" s="26"/>
      <c r="G25" s="11" t="str">
        <f aca="false">IF(Setup!E23="","",Setup!E23)</f>
        <v>Emergency fund</v>
      </c>
      <c r="H25" s="22" t="n">
        <f aca="false">IF(G25="","",Setup!G23)</f>
        <v>200</v>
      </c>
      <c r="I25" s="22" t="n">
        <f aca="false">IF(G25="","",SUMIFS($E$7:$E$86,$D$7:$D$86,G25))</f>
        <v>0</v>
      </c>
      <c r="J25" s="22" t="n">
        <f aca="false">IF(G25="","",H25-I25)</f>
        <v>200</v>
      </c>
      <c r="K25" s="33" t="n">
        <f aca="false">IF(OR(G25="",H25=0),"",I25/H25)</f>
        <v>0</v>
      </c>
    </row>
    <row r="26" customFormat="false" ht="15" hidden="false" customHeight="false" outlineLevel="0" collapsed="false">
      <c r="B26" s="30"/>
      <c r="C26" s="17"/>
      <c r="D26" s="17"/>
      <c r="E26" s="26"/>
      <c r="G26" s="11" t="str">
        <f aca="false">IF(Setup!E24="","",Setup!E24)</f>
        <v>Sinking funds</v>
      </c>
      <c r="H26" s="22" t="n">
        <f aca="false">IF(G26="","",Setup!G24)</f>
        <v>100</v>
      </c>
      <c r="I26" s="22" t="n">
        <f aca="false">IF(G26="","",SUMIFS($E$7:$E$86,$D$7:$D$86,G26))</f>
        <v>0</v>
      </c>
      <c r="J26" s="22" t="n">
        <f aca="false">IF(G26="","",H26-I26)</f>
        <v>100</v>
      </c>
      <c r="K26" s="33" t="n">
        <f aca="false">IF(OR(G26="",H26=0),"",I26/H26)</f>
        <v>0</v>
      </c>
    </row>
    <row r="27" customFormat="false" ht="15" hidden="false" customHeight="false" outlineLevel="0" collapsed="false">
      <c r="B27" s="30"/>
      <c r="C27" s="17"/>
      <c r="D27" s="17"/>
      <c r="E27" s="26"/>
      <c r="G27" s="11" t="str">
        <f aca="false">IF(Setup!E25="","",Setup!E25)</f>
        <v>Retirement</v>
      </c>
      <c r="H27" s="22" t="n">
        <f aca="false">IF(G27="","",Setup!G25)</f>
        <v>150</v>
      </c>
      <c r="I27" s="22" t="n">
        <f aca="false">IF(G27="","",SUMIFS($E$7:$E$86,$D$7:$D$86,G27))</f>
        <v>0</v>
      </c>
      <c r="J27" s="22" t="n">
        <f aca="false">IF(G27="","",H27-I27)</f>
        <v>150</v>
      </c>
      <c r="K27" s="33" t="n">
        <f aca="false">IF(OR(G27="",H27=0),"",I27/H27)</f>
        <v>0</v>
      </c>
    </row>
    <row r="28" customFormat="false" ht="15" hidden="false" customHeight="false" outlineLevel="0" collapsed="false">
      <c r="B28" s="30"/>
      <c r="C28" s="17"/>
      <c r="D28" s="17"/>
      <c r="E28" s="26"/>
      <c r="G28" s="11" t="str">
        <f aca="false">IF(Setup!E26="","",Setup!E26)</f>
        <v>Credit card</v>
      </c>
      <c r="H28" s="22" t="n">
        <f aca="false">IF(G28="","",Setup!G26)</f>
        <v>150</v>
      </c>
      <c r="I28" s="22" t="n">
        <f aca="false">IF(G28="","",SUMIFS($E$7:$E$86,$D$7:$D$86,G28))</f>
        <v>0</v>
      </c>
      <c r="J28" s="22" t="n">
        <f aca="false">IF(G28="","",H28-I28)</f>
        <v>150</v>
      </c>
      <c r="K28" s="33" t="n">
        <f aca="false">IF(OR(G28="",H28=0),"",I28/H28)</f>
        <v>0</v>
      </c>
    </row>
    <row r="29" customFormat="false" ht="15" hidden="false" customHeight="false" outlineLevel="0" collapsed="false">
      <c r="B29" s="30"/>
      <c r="C29" s="17"/>
      <c r="D29" s="17"/>
      <c r="E29" s="26"/>
      <c r="G29" s="11" t="str">
        <f aca="false">IF(Setup!E27="","",Setup!E27)</f>
        <v>Student loan</v>
      </c>
      <c r="H29" s="22" t="n">
        <f aca="false">IF(G29="","",Setup!G27)</f>
        <v>180</v>
      </c>
      <c r="I29" s="22" t="n">
        <f aca="false">IF(G29="","",SUMIFS($E$7:$E$86,$D$7:$D$86,G29))</f>
        <v>0</v>
      </c>
      <c r="J29" s="22" t="n">
        <f aca="false">IF(G29="","",H29-I29)</f>
        <v>180</v>
      </c>
      <c r="K29" s="33" t="n">
        <f aca="false">IF(OR(G29="",H29=0),"",I29/H29)</f>
        <v>0</v>
      </c>
    </row>
    <row r="30" customFormat="false" ht="15" hidden="false" customHeight="false" outlineLevel="0" collapsed="false">
      <c r="B30" s="30"/>
      <c r="C30" s="17"/>
      <c r="D30" s="17"/>
      <c r="E30" s="26"/>
      <c r="G30" s="11" t="str">
        <f aca="false">IF(Setup!E28="","",Setup!E28)</f>
        <v/>
      </c>
      <c r="H30" s="22" t="str">
        <f aca="false">IF(G30="","",Setup!G28)</f>
        <v/>
      </c>
      <c r="I30" s="22" t="str">
        <f aca="false">IF(G30="","",SUMIFS($E$7:$E$86,$D$7:$D$86,G30))</f>
        <v/>
      </c>
      <c r="J30" s="22" t="str">
        <f aca="false">IF(G30="","",H30-I30)</f>
        <v/>
      </c>
      <c r="K30" s="33" t="str">
        <f aca="false">IF(OR(G30="",H30=0),"",I30/H30)</f>
        <v/>
      </c>
    </row>
    <row r="31" customFormat="false" ht="15" hidden="false" customHeight="false" outlineLevel="0" collapsed="false">
      <c r="B31" s="30"/>
      <c r="C31" s="17"/>
      <c r="D31" s="17"/>
      <c r="E31" s="26"/>
      <c r="G31" s="11" t="str">
        <f aca="false">IF(Setup!E29="","",Setup!E29)</f>
        <v/>
      </c>
      <c r="H31" s="22" t="str">
        <f aca="false">IF(G31="","",Setup!G29)</f>
        <v/>
      </c>
      <c r="I31" s="22" t="str">
        <f aca="false">IF(G31="","",SUMIFS($E$7:$E$86,$D$7:$D$86,G31))</f>
        <v/>
      </c>
      <c r="J31" s="22" t="str">
        <f aca="false">IF(G31="","",H31-I31)</f>
        <v/>
      </c>
      <c r="K31" s="33" t="str">
        <f aca="false">IF(OR(G31="",H31=0),"",I31/H31)</f>
        <v/>
      </c>
    </row>
    <row r="32" customFormat="false" ht="15" hidden="false" customHeight="false" outlineLevel="0" collapsed="false">
      <c r="B32" s="30"/>
      <c r="C32" s="17"/>
      <c r="D32" s="17"/>
      <c r="E32" s="26"/>
      <c r="G32" s="11" t="str">
        <f aca="false">IF(Setup!E30="","",Setup!E30)</f>
        <v/>
      </c>
      <c r="H32" s="22" t="str">
        <f aca="false">IF(G32="","",Setup!G30)</f>
        <v/>
      </c>
      <c r="I32" s="22" t="str">
        <f aca="false">IF(G32="","",SUMIFS($E$7:$E$86,$D$7:$D$86,G32))</f>
        <v/>
      </c>
      <c r="J32" s="22" t="str">
        <f aca="false">IF(G32="","",H32-I32)</f>
        <v/>
      </c>
      <c r="K32" s="33" t="str">
        <f aca="false">IF(OR(G32="",H32=0),"",I32/H32)</f>
        <v/>
      </c>
    </row>
    <row r="33" customFormat="false" ht="15" hidden="false" customHeight="false" outlineLevel="0" collapsed="false">
      <c r="B33" s="30"/>
      <c r="C33" s="17"/>
      <c r="D33" s="17"/>
      <c r="E33" s="26"/>
      <c r="G33" s="11" t="str">
        <f aca="false">IF(Setup!E31="","",Setup!E31)</f>
        <v/>
      </c>
      <c r="H33" s="22" t="str">
        <f aca="false">IF(G33="","",Setup!G31)</f>
        <v/>
      </c>
      <c r="I33" s="22" t="str">
        <f aca="false">IF(G33="","",SUMIFS($E$7:$E$86,$D$7:$D$86,G33))</f>
        <v/>
      </c>
      <c r="J33" s="22" t="str">
        <f aca="false">IF(G33="","",H33-I33)</f>
        <v/>
      </c>
      <c r="K33" s="33" t="str">
        <f aca="false">IF(OR(G33="",H33=0),"",I33/H33)</f>
        <v/>
      </c>
    </row>
    <row r="34" customFormat="false" ht="15" hidden="false" customHeight="false" outlineLevel="0" collapsed="false">
      <c r="B34" s="30"/>
      <c r="C34" s="17"/>
      <c r="D34" s="17"/>
      <c r="E34" s="26"/>
      <c r="G34" s="11" t="str">
        <f aca="false">IF(Setup!E32="","",Setup!E32)</f>
        <v/>
      </c>
      <c r="H34" s="22" t="str">
        <f aca="false">IF(G34="","",Setup!G32)</f>
        <v/>
      </c>
      <c r="I34" s="22" t="str">
        <f aca="false">IF(G34="","",SUMIFS($E$7:$E$86,$D$7:$D$86,G34))</f>
        <v/>
      </c>
      <c r="J34" s="22" t="str">
        <f aca="false">IF(G34="","",H34-I34)</f>
        <v/>
      </c>
      <c r="K34" s="33" t="str">
        <f aca="false">IF(OR(G34="",H34=0),"",I34/H34)</f>
        <v/>
      </c>
    </row>
    <row r="35" customFormat="false" ht="15" hidden="false" customHeight="false" outlineLevel="0" collapsed="false">
      <c r="B35" s="30"/>
      <c r="C35" s="17"/>
      <c r="D35" s="17"/>
      <c r="E35" s="26"/>
      <c r="G35" s="11" t="str">
        <f aca="false">IF(Setup!E33="","",Setup!E33)</f>
        <v/>
      </c>
      <c r="H35" s="22" t="str">
        <f aca="false">IF(G35="","",Setup!G33)</f>
        <v/>
      </c>
      <c r="I35" s="22" t="str">
        <f aca="false">IF(G35="","",SUMIFS($E$7:$E$86,$D$7:$D$86,G35))</f>
        <v/>
      </c>
      <c r="J35" s="22" t="str">
        <f aca="false">IF(G35="","",H35-I35)</f>
        <v/>
      </c>
      <c r="K35" s="33" t="str">
        <f aca="false">IF(OR(G35="",H35=0),"",I35/H35)</f>
        <v/>
      </c>
    </row>
    <row r="36" customFormat="false" ht="15" hidden="false" customHeight="false" outlineLevel="0" collapsed="false">
      <c r="B36" s="30"/>
      <c r="C36" s="17"/>
      <c r="D36" s="17"/>
      <c r="E36" s="26"/>
      <c r="G36" s="11" t="str">
        <f aca="false">IF(Setup!E34="","",Setup!E34)</f>
        <v/>
      </c>
      <c r="H36" s="22" t="str">
        <f aca="false">IF(G36="","",Setup!G34)</f>
        <v/>
      </c>
      <c r="I36" s="22" t="str">
        <f aca="false">IF(G36="","",SUMIFS($E$7:$E$86,$D$7:$D$86,G36))</f>
        <v/>
      </c>
      <c r="J36" s="22" t="str">
        <f aca="false">IF(G36="","",H36-I36)</f>
        <v/>
      </c>
      <c r="K36" s="33" t="str">
        <f aca="false">IF(OR(G36="",H36=0),"",I36/H36)</f>
        <v/>
      </c>
    </row>
    <row r="37" customFormat="false" ht="15" hidden="false" customHeight="false" outlineLevel="0" collapsed="false">
      <c r="B37" s="30"/>
      <c r="C37" s="17"/>
      <c r="D37" s="17"/>
      <c r="E37" s="26"/>
      <c r="G37" s="11" t="str">
        <f aca="false">IF(Setup!E35="","",Setup!E35)</f>
        <v/>
      </c>
      <c r="H37" s="22" t="str">
        <f aca="false">IF(G37="","",Setup!G35)</f>
        <v/>
      </c>
      <c r="I37" s="22" t="str">
        <f aca="false">IF(G37="","",SUMIFS($E$7:$E$86,$D$7:$D$86,G37))</f>
        <v/>
      </c>
      <c r="J37" s="22" t="str">
        <f aca="false">IF(G37="","",H37-I37)</f>
        <v/>
      </c>
      <c r="K37" s="33" t="str">
        <f aca="false">IF(OR(G37="",H37=0),"",I37/H37)</f>
        <v/>
      </c>
    </row>
    <row r="38" customFormat="false" ht="15" hidden="false" customHeight="false" outlineLevel="0" collapsed="false">
      <c r="B38" s="30"/>
      <c r="C38" s="17"/>
      <c r="D38" s="17"/>
      <c r="E38" s="26"/>
      <c r="G38" s="11" t="str">
        <f aca="false">IF(Setup!E36="","",Setup!E36)</f>
        <v/>
      </c>
      <c r="H38" s="22" t="str">
        <f aca="false">IF(G38="","",Setup!G36)</f>
        <v/>
      </c>
      <c r="I38" s="22" t="str">
        <f aca="false">IF(G38="","",SUMIFS($E$7:$E$86,$D$7:$D$86,G38))</f>
        <v/>
      </c>
      <c r="J38" s="22" t="str">
        <f aca="false">IF(G38="","",H38-I38)</f>
        <v/>
      </c>
      <c r="K38" s="33" t="str">
        <f aca="false">IF(OR(G38="",H38=0),"",I38/H38)</f>
        <v/>
      </c>
    </row>
    <row r="39" customFormat="false" ht="15" hidden="false" customHeight="false" outlineLevel="0" collapsed="false">
      <c r="B39" s="30"/>
      <c r="C39" s="17"/>
      <c r="D39" s="17"/>
      <c r="E39" s="26"/>
      <c r="G39" s="11" t="str">
        <f aca="false">IF(Setup!E37="","",Setup!E37)</f>
        <v/>
      </c>
      <c r="H39" s="22" t="str">
        <f aca="false">IF(G39="","",Setup!G37)</f>
        <v/>
      </c>
      <c r="I39" s="22" t="str">
        <f aca="false">IF(G39="","",SUMIFS($E$7:$E$86,$D$7:$D$86,G39))</f>
        <v/>
      </c>
      <c r="J39" s="22" t="str">
        <f aca="false">IF(G39="","",H39-I39)</f>
        <v/>
      </c>
      <c r="K39" s="33" t="str">
        <f aca="false">IF(OR(G39="",H39=0),"",I39/H39)</f>
        <v/>
      </c>
    </row>
    <row r="40" customFormat="false" ht="15" hidden="false" customHeight="false" outlineLevel="0" collapsed="false">
      <c r="B40" s="30"/>
      <c r="C40" s="17"/>
      <c r="D40" s="17"/>
      <c r="E40" s="26"/>
      <c r="G40" s="11" t="str">
        <f aca="false">IF(Setup!E38="","",Setup!E38)</f>
        <v/>
      </c>
      <c r="H40" s="22" t="str">
        <f aca="false">IF(G40="","",Setup!G38)</f>
        <v/>
      </c>
      <c r="I40" s="22" t="str">
        <f aca="false">IF(G40="","",SUMIFS($E$7:$E$86,$D$7:$D$86,G40))</f>
        <v/>
      </c>
      <c r="J40" s="22" t="str">
        <f aca="false">IF(G40="","",H40-I40)</f>
        <v/>
      </c>
      <c r="K40" s="33" t="str">
        <f aca="false">IF(OR(G40="",H40=0),"",I40/H40)</f>
        <v/>
      </c>
    </row>
    <row r="41" customFormat="false" ht="15" hidden="false" customHeight="false" outlineLevel="0" collapsed="false">
      <c r="B41" s="30"/>
      <c r="C41" s="17"/>
      <c r="D41" s="17"/>
      <c r="E41" s="26"/>
      <c r="G41" s="11" t="str">
        <f aca="false">IF(Setup!E39="","",Setup!E39)</f>
        <v/>
      </c>
      <c r="H41" s="22" t="str">
        <f aca="false">IF(G41="","",Setup!G39)</f>
        <v/>
      </c>
      <c r="I41" s="22" t="str">
        <f aca="false">IF(G41="","",SUMIFS($E$7:$E$86,$D$7:$D$86,G41))</f>
        <v/>
      </c>
      <c r="J41" s="22" t="str">
        <f aca="false">IF(G41="","",H41-I41)</f>
        <v/>
      </c>
      <c r="K41" s="33" t="str">
        <f aca="false">IF(OR(G41="",H41=0),"",I41/H41)</f>
        <v/>
      </c>
    </row>
    <row r="42" customFormat="false" ht="15" hidden="false" customHeight="false" outlineLevel="0" collapsed="false">
      <c r="B42" s="30"/>
      <c r="C42" s="17"/>
      <c r="D42" s="17"/>
      <c r="E42" s="26"/>
    </row>
    <row r="43" customFormat="false" ht="15" hidden="false" customHeight="false" outlineLevel="0" collapsed="false">
      <c r="B43" s="30"/>
      <c r="C43" s="17"/>
      <c r="D43" s="17"/>
      <c r="E43" s="26"/>
    </row>
    <row r="44" customFormat="false" ht="15" hidden="false" customHeight="false" outlineLevel="0" collapsed="false">
      <c r="B44" s="30"/>
      <c r="C44" s="17"/>
      <c r="D44" s="17"/>
      <c r="E44" s="26"/>
    </row>
    <row r="45" customFormat="false" ht="15" hidden="false" customHeight="false" outlineLevel="0" collapsed="false">
      <c r="B45" s="30"/>
      <c r="C45" s="17"/>
      <c r="D45" s="17"/>
      <c r="E45" s="26"/>
    </row>
    <row r="46" customFormat="false" ht="15" hidden="false" customHeight="false" outlineLevel="0" collapsed="false">
      <c r="B46" s="30"/>
      <c r="C46" s="17"/>
      <c r="D46" s="17"/>
      <c r="E46" s="26"/>
    </row>
    <row r="47" customFormat="false" ht="15" hidden="false" customHeight="false" outlineLevel="0" collapsed="false">
      <c r="B47" s="30"/>
      <c r="C47" s="17"/>
      <c r="D47" s="17"/>
      <c r="E47" s="26"/>
    </row>
    <row r="48" customFormat="false" ht="15" hidden="false" customHeight="false" outlineLevel="0" collapsed="false">
      <c r="B48" s="30"/>
      <c r="C48" s="17"/>
      <c r="D48" s="17"/>
      <c r="E48" s="26"/>
    </row>
    <row r="49" customFormat="false" ht="15" hidden="false" customHeight="false" outlineLevel="0" collapsed="false">
      <c r="B49" s="30"/>
      <c r="C49" s="17"/>
      <c r="D49" s="17"/>
      <c r="E49" s="26"/>
    </row>
    <row r="50" customFormat="false" ht="15" hidden="false" customHeight="false" outlineLevel="0" collapsed="false">
      <c r="B50" s="30"/>
      <c r="C50" s="17"/>
      <c r="D50" s="17"/>
      <c r="E50" s="26"/>
    </row>
    <row r="51" customFormat="false" ht="15" hidden="false" customHeight="false" outlineLevel="0" collapsed="false">
      <c r="B51" s="30"/>
      <c r="C51" s="17"/>
      <c r="D51" s="17"/>
      <c r="E51" s="26"/>
    </row>
    <row r="52" customFormat="false" ht="15" hidden="false" customHeight="false" outlineLevel="0" collapsed="false">
      <c r="B52" s="30"/>
      <c r="C52" s="17"/>
      <c r="D52" s="17"/>
      <c r="E52" s="26"/>
    </row>
    <row r="53" customFormat="false" ht="15" hidden="false" customHeight="false" outlineLevel="0" collapsed="false">
      <c r="B53" s="30"/>
      <c r="C53" s="17"/>
      <c r="D53" s="17"/>
      <c r="E53" s="26"/>
    </row>
    <row r="54" customFormat="false" ht="15" hidden="false" customHeight="false" outlineLevel="0" collapsed="false">
      <c r="B54" s="30"/>
      <c r="C54" s="17"/>
      <c r="D54" s="17"/>
      <c r="E54" s="26"/>
    </row>
    <row r="55" customFormat="false" ht="15" hidden="false" customHeight="false" outlineLevel="0" collapsed="false">
      <c r="B55" s="30"/>
      <c r="C55" s="17"/>
      <c r="D55" s="17"/>
      <c r="E55" s="26"/>
    </row>
    <row r="56" customFormat="false" ht="15" hidden="false" customHeight="false" outlineLevel="0" collapsed="false">
      <c r="B56" s="30"/>
      <c r="C56" s="17"/>
      <c r="D56" s="17"/>
      <c r="E56" s="26"/>
    </row>
    <row r="57" customFormat="false" ht="15" hidden="false" customHeight="false" outlineLevel="0" collapsed="false">
      <c r="B57" s="30"/>
      <c r="C57" s="17"/>
      <c r="D57" s="17"/>
      <c r="E57" s="26"/>
    </row>
    <row r="58" customFormat="false" ht="15" hidden="false" customHeight="false" outlineLevel="0" collapsed="false">
      <c r="B58" s="30"/>
      <c r="C58" s="17"/>
      <c r="D58" s="17"/>
      <c r="E58" s="26"/>
    </row>
    <row r="59" customFormat="false" ht="15" hidden="false" customHeight="false" outlineLevel="0" collapsed="false">
      <c r="B59" s="30"/>
      <c r="C59" s="17"/>
      <c r="D59" s="17"/>
      <c r="E59" s="26"/>
    </row>
    <row r="60" customFormat="false" ht="15" hidden="false" customHeight="false" outlineLevel="0" collapsed="false">
      <c r="B60" s="30"/>
      <c r="C60" s="17"/>
      <c r="D60" s="17"/>
      <c r="E60" s="26"/>
    </row>
    <row r="61" customFormat="false" ht="15" hidden="false" customHeight="false" outlineLevel="0" collapsed="false">
      <c r="B61" s="30"/>
      <c r="C61" s="17"/>
      <c r="D61" s="17"/>
      <c r="E61" s="26"/>
    </row>
    <row r="62" customFormat="false" ht="15" hidden="false" customHeight="false" outlineLevel="0" collapsed="false">
      <c r="B62" s="30"/>
      <c r="C62" s="17"/>
      <c r="D62" s="17"/>
      <c r="E62" s="26"/>
    </row>
    <row r="63" customFormat="false" ht="15" hidden="false" customHeight="false" outlineLevel="0" collapsed="false">
      <c r="B63" s="30"/>
      <c r="C63" s="17"/>
      <c r="D63" s="17"/>
      <c r="E63" s="26"/>
    </row>
    <row r="64" customFormat="false" ht="15" hidden="false" customHeight="false" outlineLevel="0" collapsed="false">
      <c r="B64" s="30"/>
      <c r="C64" s="17"/>
      <c r="D64" s="17"/>
      <c r="E64" s="26"/>
    </row>
    <row r="65" customFormat="false" ht="15" hidden="false" customHeight="false" outlineLevel="0" collapsed="false">
      <c r="B65" s="30"/>
      <c r="C65" s="17"/>
      <c r="D65" s="17"/>
      <c r="E65" s="26"/>
    </row>
    <row r="66" customFormat="false" ht="15" hidden="false" customHeight="false" outlineLevel="0" collapsed="false">
      <c r="B66" s="30"/>
      <c r="C66" s="17"/>
      <c r="D66" s="17"/>
      <c r="E66" s="26"/>
    </row>
    <row r="67" customFormat="false" ht="15" hidden="false" customHeight="false" outlineLevel="0" collapsed="false">
      <c r="B67" s="30"/>
      <c r="C67" s="17"/>
      <c r="D67" s="17"/>
      <c r="E67" s="26"/>
    </row>
    <row r="68" customFormat="false" ht="15" hidden="false" customHeight="false" outlineLevel="0" collapsed="false">
      <c r="B68" s="30"/>
      <c r="C68" s="17"/>
      <c r="D68" s="17"/>
      <c r="E68" s="26"/>
    </row>
    <row r="69" customFormat="false" ht="15" hidden="false" customHeight="false" outlineLevel="0" collapsed="false">
      <c r="B69" s="30"/>
      <c r="C69" s="17"/>
      <c r="D69" s="17"/>
      <c r="E69" s="26"/>
    </row>
    <row r="70" customFormat="false" ht="15" hidden="false" customHeight="false" outlineLevel="0" collapsed="false">
      <c r="B70" s="30"/>
      <c r="C70" s="17"/>
      <c r="D70" s="17"/>
      <c r="E70" s="26"/>
    </row>
    <row r="71" customFormat="false" ht="15" hidden="false" customHeight="false" outlineLevel="0" collapsed="false">
      <c r="B71" s="30"/>
      <c r="C71" s="17"/>
      <c r="D71" s="17"/>
      <c r="E71" s="26"/>
    </row>
    <row r="72" customFormat="false" ht="15" hidden="false" customHeight="false" outlineLevel="0" collapsed="false">
      <c r="B72" s="30"/>
      <c r="C72" s="17"/>
      <c r="D72" s="17"/>
      <c r="E72" s="26"/>
    </row>
    <row r="73" customFormat="false" ht="15" hidden="false" customHeight="false" outlineLevel="0" collapsed="false">
      <c r="B73" s="30"/>
      <c r="C73" s="17"/>
      <c r="D73" s="17"/>
      <c r="E73" s="26"/>
    </row>
    <row r="74" customFormat="false" ht="15" hidden="false" customHeight="false" outlineLevel="0" collapsed="false">
      <c r="B74" s="30"/>
      <c r="C74" s="17"/>
      <c r="D74" s="17"/>
      <c r="E74" s="26"/>
    </row>
    <row r="75" customFormat="false" ht="15" hidden="false" customHeight="false" outlineLevel="0" collapsed="false">
      <c r="B75" s="30"/>
      <c r="C75" s="17"/>
      <c r="D75" s="17"/>
      <c r="E75" s="26"/>
    </row>
    <row r="76" customFormat="false" ht="15" hidden="false" customHeight="false" outlineLevel="0" collapsed="false">
      <c r="B76" s="30"/>
      <c r="C76" s="17"/>
      <c r="D76" s="17"/>
      <c r="E76" s="26"/>
    </row>
    <row r="77" customFormat="false" ht="15" hidden="false" customHeight="false" outlineLevel="0" collapsed="false">
      <c r="B77" s="30"/>
      <c r="C77" s="17"/>
      <c r="D77" s="17"/>
      <c r="E77" s="26"/>
    </row>
    <row r="78" customFormat="false" ht="15" hidden="false" customHeight="false" outlineLevel="0" collapsed="false">
      <c r="B78" s="30"/>
      <c r="C78" s="17"/>
      <c r="D78" s="17"/>
      <c r="E78" s="26"/>
    </row>
    <row r="79" customFormat="false" ht="15" hidden="false" customHeight="false" outlineLevel="0" collapsed="false">
      <c r="B79" s="30"/>
      <c r="C79" s="17"/>
      <c r="D79" s="17"/>
      <c r="E79" s="26"/>
    </row>
    <row r="80" customFormat="false" ht="15" hidden="false" customHeight="false" outlineLevel="0" collapsed="false">
      <c r="B80" s="30"/>
      <c r="C80" s="17"/>
      <c r="D80" s="17"/>
      <c r="E80" s="26"/>
    </row>
    <row r="81" customFormat="false" ht="15" hidden="false" customHeight="false" outlineLevel="0" collapsed="false">
      <c r="B81" s="30"/>
      <c r="C81" s="17"/>
      <c r="D81" s="17"/>
      <c r="E81" s="26"/>
    </row>
    <row r="82" customFormat="false" ht="15" hidden="false" customHeight="false" outlineLevel="0" collapsed="false">
      <c r="B82" s="30"/>
      <c r="C82" s="17"/>
      <c r="D82" s="17"/>
      <c r="E82" s="26"/>
    </row>
    <row r="83" customFormat="false" ht="15" hidden="false" customHeight="false" outlineLevel="0" collapsed="false">
      <c r="B83" s="30"/>
      <c r="C83" s="17"/>
      <c r="D83" s="17"/>
      <c r="E83" s="26"/>
    </row>
    <row r="84" customFormat="false" ht="15" hidden="false" customHeight="false" outlineLevel="0" collapsed="false">
      <c r="B84" s="30"/>
      <c r="C84" s="17"/>
      <c r="D84" s="17"/>
      <c r="E84" s="26"/>
    </row>
    <row r="85" customFormat="false" ht="15" hidden="false" customHeight="false" outlineLevel="0" collapsed="false">
      <c r="B85" s="30"/>
      <c r="C85" s="17"/>
      <c r="D85" s="17"/>
      <c r="E85" s="26"/>
    </row>
    <row r="86" customFormat="false" ht="15" hidden="false" customHeight="false" outlineLevel="0" collapsed="false">
      <c r="B86" s="30"/>
      <c r="C86" s="17"/>
      <c r="D86" s="17"/>
      <c r="E86" s="26"/>
    </row>
  </sheetData>
  <sheetProtection sheet="true" formatColumns="false" formatRows="false" insertRows="false" sort="false" autoFilter="false"/>
  <conditionalFormatting sqref="H8">
    <cfRule type="cellIs" priority="2" operator="lessThan" aboveAverage="0" equalAverage="0" bottom="0" percent="0" rank="0" text="" dxfId="1">
      <formula>0</formula>
    </cfRule>
  </conditionalFormatting>
  <conditionalFormatting sqref="J12:J41">
    <cfRule type="cellIs" priority="3" operator="lessThan" aboveAverage="0" equalAverage="0" bottom="0" percent="0" rank="0" text="" dxfId="1">
      <formula>0</formula>
    </cfRule>
  </conditionalFormatting>
  <conditionalFormatting sqref="K12:K41">
    <cfRule type="dataBar" priority="4">
      <dataBar showValue="1" minLength="10" maxLength="90">
        <cfvo type="num" val="0"/>
        <cfvo type="num" val="1"/>
        <color rgb="FF2F6F5E"/>
      </dataBar>
      <extLst>
        <ext xmlns:x14="http://schemas.microsoft.com/office/spreadsheetml/2009/9/main" uri="{B025F937-C7B1-47D3-B67F-A62EFF666E3E}">
          <x14:id>{14A17C10-FAA2-47F9-A079-A15C71B0572E}</x14:id>
        </ext>
      </extLst>
    </cfRule>
  </conditionalFormatting>
  <dataValidations count="1">
    <dataValidation allowBlank="true" errorStyle="stop" operator="between" showDropDown="false" showErrorMessage="false" showInputMessage="false" sqref="D7:D86" type="list">
      <formula1>Categories</formula1>
      <formula2>0</formula2>
    </dataValidation>
  </dataValidations>
  <hyperlinks>
    <hyperlink ref="B4" r:id="rId1" location="'Start%20here'!A1" display="Start here"/>
    <hyperlink ref="C4" r:id="rId2" location="'Dashboard'!A1" display="Dashboard"/>
    <hyperlink ref="D4" r:id="rId3" location="'Setup'!A1" display="Setup"/>
    <hyperlink ref="E4" r:id="rId4" location="'January'!A1" display="Months"/>
    <hyperlink ref="F4" r:id="rId5" location="'Bills'!A1" display="Bills"/>
    <hyperlink ref="G4" r:id="rId6" location="'Paycheck%20plan'!A1" display="Paycheck"/>
    <hyperlink ref="H4" r:id="rId7" location="'Debt%20payoff'!A1" display="Debt"/>
    <hyperlink ref="I4" r:id="rId8" location="'Savings%20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14A17C10-FAA2-47F9-A079-A15C71B0572E}">
            <x14:dataBar minLength="10" maxLength="90" axisPosition="none" gradient="true">
              <x14:cfvo type="num">
                <xm:f>0</xm:f>
              </x14:cfvo>
              <x14:cfvo type="num">
                <xm:f>1</xm:f>
              </x14:cfvo>
              <x14:negativeFillColor rgb="FF2F6F5E"/>
              <x14:axisColor rgb="FF000000"/>
            </x14:dataBar>
          </x14:cfRule>
          <xm:sqref>K12:K41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Q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4"/>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17" min="6" style="0" width="6"/>
    <col collapsed="false" customWidth="true" hidden="false" outlineLevel="0" max="29" min="18" style="0" width="14"/>
  </cols>
  <sheetData>
    <row r="2" customFormat="false" ht="33.75" hidden="false" customHeight="true" outlineLevel="0" collapsed="false">
      <c r="B2" s="1" t="s">
        <v>6</v>
      </c>
    </row>
    <row r="3" customFormat="false" ht="15" hidden="false" customHeight="false" outlineLevel="0" collapsed="false">
      <c r="B3" s="2" t="s">
        <v>119</v>
      </c>
    </row>
    <row r="4" customFormat="false" ht="15" hidden="false" customHeight="false" outlineLevel="0" collapsed="false">
      <c r="B4" s="3" t="s">
        <v>2</v>
      </c>
      <c r="C4" s="3" t="s">
        <v>3</v>
      </c>
      <c r="D4" s="3" t="s">
        <v>4</v>
      </c>
      <c r="E4" s="3" t="s">
        <v>5</v>
      </c>
      <c r="F4" s="3" t="s">
        <v>6</v>
      </c>
      <c r="G4" s="3" t="s">
        <v>7</v>
      </c>
      <c r="H4" s="3" t="s">
        <v>8</v>
      </c>
      <c r="I4" s="3" t="s">
        <v>9</v>
      </c>
    </row>
    <row r="6" customFormat="false" ht="21.75" hidden="false" customHeight="true" outlineLevel="0" collapsed="false">
      <c r="B6" s="10" t="s">
        <v>120</v>
      </c>
      <c r="C6" s="10" t="s">
        <v>121</v>
      </c>
      <c r="D6" s="10" t="s">
        <v>102</v>
      </c>
      <c r="E6" s="10" t="s">
        <v>122</v>
      </c>
      <c r="F6" s="10" t="s">
        <v>123</v>
      </c>
      <c r="G6" s="10" t="s">
        <v>124</v>
      </c>
      <c r="H6" s="10" t="s">
        <v>125</v>
      </c>
      <c r="I6" s="10" t="s">
        <v>126</v>
      </c>
      <c r="J6" s="10" t="s">
        <v>24</v>
      </c>
      <c r="K6" s="10" t="s">
        <v>127</v>
      </c>
      <c r="L6" s="10" t="s">
        <v>128</v>
      </c>
      <c r="M6" s="10" t="s">
        <v>129</v>
      </c>
      <c r="N6" s="10" t="s">
        <v>130</v>
      </c>
      <c r="O6" s="10" t="s">
        <v>131</v>
      </c>
      <c r="P6" s="10" t="s">
        <v>132</v>
      </c>
      <c r="Q6" s="10" t="s">
        <v>133</v>
      </c>
    </row>
    <row r="7" customFormat="false" ht="15" hidden="false" customHeight="false" outlineLevel="0" collapsed="false">
      <c r="B7" s="17" t="s">
        <v>105</v>
      </c>
      <c r="C7" s="25" t="n">
        <v>1</v>
      </c>
      <c r="D7" s="26" t="n">
        <v>1400</v>
      </c>
      <c r="E7" s="17" t="s">
        <v>134</v>
      </c>
      <c r="F7" s="34"/>
      <c r="G7" s="34"/>
      <c r="H7" s="34"/>
      <c r="I7" s="34"/>
      <c r="J7" s="34"/>
      <c r="K7" s="34"/>
      <c r="L7" s="34"/>
      <c r="M7" s="34"/>
      <c r="N7" s="34"/>
      <c r="O7" s="34"/>
      <c r="P7" s="34"/>
      <c r="Q7" s="34"/>
    </row>
    <row r="8" customFormat="false" ht="15" hidden="false" customHeight="false" outlineLevel="0" collapsed="false">
      <c r="B8" s="17" t="s">
        <v>83</v>
      </c>
      <c r="C8" s="25" t="n">
        <v>14</v>
      </c>
      <c r="D8" s="26" t="n">
        <v>95</v>
      </c>
      <c r="E8" s="17" t="s">
        <v>134</v>
      </c>
      <c r="F8" s="34"/>
      <c r="G8" s="34"/>
      <c r="H8" s="34"/>
      <c r="I8" s="34"/>
      <c r="J8" s="34"/>
      <c r="K8" s="34"/>
      <c r="L8" s="34"/>
      <c r="M8" s="34"/>
      <c r="N8" s="34"/>
      <c r="O8" s="34"/>
      <c r="P8" s="34"/>
      <c r="Q8" s="34"/>
    </row>
    <row r="9" customFormat="false" ht="15" hidden="false" customHeight="false" outlineLevel="0" collapsed="false">
      <c r="B9" s="17" t="s">
        <v>115</v>
      </c>
      <c r="C9" s="25" t="n">
        <v>18</v>
      </c>
      <c r="D9" s="26" t="n">
        <v>15.99</v>
      </c>
      <c r="E9" s="17" t="s">
        <v>134</v>
      </c>
      <c r="F9" s="34"/>
      <c r="G9" s="34"/>
      <c r="H9" s="34"/>
      <c r="I9" s="34"/>
      <c r="J9" s="34"/>
      <c r="K9" s="34"/>
      <c r="L9" s="34"/>
      <c r="M9" s="34"/>
      <c r="N9" s="34"/>
      <c r="O9" s="34"/>
      <c r="P9" s="34"/>
      <c r="Q9" s="34"/>
    </row>
    <row r="10" customFormat="false" ht="15" hidden="false" customHeight="false" outlineLevel="0" collapsed="false">
      <c r="B10" s="17" t="s">
        <v>135</v>
      </c>
      <c r="C10" s="25" t="n">
        <v>20</v>
      </c>
      <c r="D10" s="26" t="n">
        <v>160</v>
      </c>
      <c r="E10" s="17" t="s">
        <v>136</v>
      </c>
      <c r="F10" s="34"/>
      <c r="G10" s="34"/>
      <c r="H10" s="34"/>
      <c r="I10" s="34"/>
      <c r="J10" s="34"/>
      <c r="K10" s="34"/>
      <c r="L10" s="34"/>
      <c r="M10" s="34"/>
      <c r="N10" s="34"/>
      <c r="O10" s="34"/>
      <c r="P10" s="34"/>
      <c r="Q10" s="34"/>
    </row>
    <row r="11" customFormat="false" ht="15" hidden="false" customHeight="false" outlineLevel="0" collapsed="false">
      <c r="B11" s="17" t="s">
        <v>137</v>
      </c>
      <c r="C11" s="25" t="n">
        <v>22</v>
      </c>
      <c r="D11" s="26" t="n">
        <v>90</v>
      </c>
      <c r="E11" s="17" t="s">
        <v>136</v>
      </c>
      <c r="F11" s="34"/>
      <c r="G11" s="34"/>
      <c r="H11" s="34"/>
      <c r="I11" s="34"/>
      <c r="J11" s="34"/>
      <c r="K11" s="34"/>
      <c r="L11" s="34"/>
      <c r="M11" s="34"/>
      <c r="N11" s="34"/>
      <c r="O11" s="34"/>
      <c r="P11" s="34"/>
      <c r="Q11" s="34"/>
    </row>
    <row r="12" customFormat="false" ht="15" hidden="false" customHeight="false" outlineLevel="0" collapsed="false">
      <c r="B12" s="17" t="s">
        <v>95</v>
      </c>
      <c r="C12" s="25" t="n">
        <v>25</v>
      </c>
      <c r="D12" s="26" t="n">
        <v>150</v>
      </c>
      <c r="E12" s="17" t="s">
        <v>136</v>
      </c>
      <c r="F12" s="34"/>
      <c r="G12" s="34"/>
      <c r="H12" s="34"/>
      <c r="I12" s="34"/>
      <c r="J12" s="34"/>
      <c r="K12" s="34"/>
      <c r="L12" s="34"/>
      <c r="M12" s="34"/>
      <c r="N12" s="34"/>
      <c r="O12" s="34"/>
      <c r="P12" s="34"/>
      <c r="Q12" s="34"/>
    </row>
    <row r="13" customFormat="false" ht="15" hidden="false" customHeight="false" outlineLevel="0" collapsed="false">
      <c r="B13" s="17"/>
      <c r="C13" s="25"/>
      <c r="D13" s="26"/>
      <c r="E13" s="17"/>
      <c r="F13" s="34"/>
      <c r="G13" s="34"/>
      <c r="H13" s="34"/>
      <c r="I13" s="34"/>
      <c r="J13" s="34"/>
      <c r="K13" s="34"/>
      <c r="L13" s="34"/>
      <c r="M13" s="34"/>
      <c r="N13" s="34"/>
      <c r="O13" s="34"/>
      <c r="P13" s="34"/>
      <c r="Q13" s="34"/>
    </row>
    <row r="14" customFormat="false" ht="15" hidden="false" customHeight="false" outlineLevel="0" collapsed="false">
      <c r="B14" s="17"/>
      <c r="C14" s="25"/>
      <c r="D14" s="26"/>
      <c r="E14" s="17"/>
      <c r="F14" s="34"/>
      <c r="G14" s="34"/>
      <c r="H14" s="34"/>
      <c r="I14" s="34"/>
      <c r="J14" s="34"/>
      <c r="K14" s="34"/>
      <c r="L14" s="34"/>
      <c r="M14" s="34"/>
      <c r="N14" s="34"/>
      <c r="O14" s="34"/>
      <c r="P14" s="34"/>
      <c r="Q14" s="34"/>
    </row>
    <row r="15" customFormat="false" ht="15" hidden="false" customHeight="false" outlineLevel="0" collapsed="false">
      <c r="B15" s="17"/>
      <c r="C15" s="25"/>
      <c r="D15" s="26"/>
      <c r="E15" s="17"/>
      <c r="F15" s="34"/>
      <c r="G15" s="34"/>
      <c r="H15" s="34"/>
      <c r="I15" s="34"/>
      <c r="J15" s="34"/>
      <c r="K15" s="34"/>
      <c r="L15" s="34"/>
      <c r="M15" s="34"/>
      <c r="N15" s="34"/>
      <c r="O15" s="34"/>
      <c r="P15" s="34"/>
      <c r="Q15" s="34"/>
    </row>
    <row r="16" customFormat="false" ht="15" hidden="false" customHeight="false" outlineLevel="0" collapsed="false">
      <c r="B16" s="17"/>
      <c r="C16" s="25"/>
      <c r="D16" s="26"/>
      <c r="E16" s="17"/>
      <c r="F16" s="34"/>
      <c r="G16" s="34"/>
      <c r="H16" s="34"/>
      <c r="I16" s="34"/>
      <c r="J16" s="34"/>
      <c r="K16" s="34"/>
      <c r="L16" s="34"/>
      <c r="M16" s="34"/>
      <c r="N16" s="34"/>
      <c r="O16" s="34"/>
      <c r="P16" s="34"/>
      <c r="Q16" s="34"/>
    </row>
    <row r="17" customFormat="false" ht="15" hidden="false" customHeight="false" outlineLevel="0" collapsed="false">
      <c r="B17" s="17"/>
      <c r="C17" s="25"/>
      <c r="D17" s="26"/>
      <c r="E17" s="17"/>
      <c r="F17" s="34"/>
      <c r="G17" s="34"/>
      <c r="H17" s="34"/>
      <c r="I17" s="34"/>
      <c r="J17" s="34"/>
      <c r="K17" s="34"/>
      <c r="L17" s="34"/>
      <c r="M17" s="34"/>
      <c r="N17" s="34"/>
      <c r="O17" s="34"/>
      <c r="P17" s="34"/>
      <c r="Q17" s="34"/>
    </row>
    <row r="18" customFormat="false" ht="15" hidden="false" customHeight="false" outlineLevel="0" collapsed="false">
      <c r="B18" s="17"/>
      <c r="C18" s="25"/>
      <c r="D18" s="26"/>
      <c r="E18" s="17"/>
      <c r="F18" s="34"/>
      <c r="G18" s="34"/>
      <c r="H18" s="34"/>
      <c r="I18" s="34"/>
      <c r="J18" s="34"/>
      <c r="K18" s="34"/>
      <c r="L18" s="34"/>
      <c r="M18" s="34"/>
      <c r="N18" s="34"/>
      <c r="O18" s="34"/>
      <c r="P18" s="34"/>
      <c r="Q18" s="34"/>
    </row>
    <row r="19" customFormat="false" ht="15" hidden="false" customHeight="false" outlineLevel="0" collapsed="false">
      <c r="B19" s="17"/>
      <c r="C19" s="25"/>
      <c r="D19" s="26"/>
      <c r="E19" s="17"/>
      <c r="F19" s="34"/>
      <c r="G19" s="34"/>
      <c r="H19" s="34"/>
      <c r="I19" s="34"/>
      <c r="J19" s="34"/>
      <c r="K19" s="34"/>
      <c r="L19" s="34"/>
      <c r="M19" s="34"/>
      <c r="N19" s="34"/>
      <c r="O19" s="34"/>
      <c r="P19" s="34"/>
      <c r="Q19" s="34"/>
    </row>
    <row r="20" customFormat="false" ht="15" hidden="false" customHeight="false" outlineLevel="0" collapsed="false">
      <c r="B20" s="17"/>
      <c r="C20" s="25"/>
      <c r="D20" s="26"/>
      <c r="E20" s="17"/>
      <c r="F20" s="34"/>
      <c r="G20" s="34"/>
      <c r="H20" s="34"/>
      <c r="I20" s="34"/>
      <c r="J20" s="34"/>
      <c r="K20" s="34"/>
      <c r="L20" s="34"/>
      <c r="M20" s="34"/>
      <c r="N20" s="34"/>
      <c r="O20" s="34"/>
      <c r="P20" s="34"/>
      <c r="Q20" s="34"/>
    </row>
    <row r="21" customFormat="false" ht="15" hidden="false" customHeight="false" outlineLevel="0" collapsed="false">
      <c r="B21" s="17"/>
      <c r="C21" s="25"/>
      <c r="D21" s="26"/>
      <c r="E21" s="17"/>
      <c r="F21" s="34"/>
      <c r="G21" s="34"/>
      <c r="H21" s="34"/>
      <c r="I21" s="34"/>
      <c r="J21" s="34"/>
      <c r="K21" s="34"/>
      <c r="L21" s="34"/>
      <c r="M21" s="34"/>
      <c r="N21" s="34"/>
      <c r="O21" s="34"/>
      <c r="P21" s="34"/>
      <c r="Q21" s="34"/>
    </row>
    <row r="22" customFormat="false" ht="15" hidden="false" customHeight="false" outlineLevel="0" collapsed="false">
      <c r="B22" s="17"/>
      <c r="C22" s="25"/>
      <c r="D22" s="26"/>
      <c r="E22" s="17"/>
      <c r="F22" s="34"/>
      <c r="G22" s="34"/>
      <c r="H22" s="34"/>
      <c r="I22" s="34"/>
      <c r="J22" s="34"/>
      <c r="K22" s="34"/>
      <c r="L22" s="34"/>
      <c r="M22" s="34"/>
      <c r="N22" s="34"/>
      <c r="O22" s="34"/>
      <c r="P22" s="34"/>
      <c r="Q22" s="34"/>
    </row>
    <row r="23" customFormat="false" ht="15" hidden="false" customHeight="false" outlineLevel="0" collapsed="false">
      <c r="B23" s="17"/>
      <c r="C23" s="25"/>
      <c r="D23" s="26"/>
      <c r="E23" s="17"/>
      <c r="F23" s="34"/>
      <c r="G23" s="34"/>
      <c r="H23" s="34"/>
      <c r="I23" s="34"/>
      <c r="J23" s="34"/>
      <c r="K23" s="34"/>
      <c r="L23" s="34"/>
      <c r="M23" s="34"/>
      <c r="N23" s="34"/>
      <c r="O23" s="34"/>
      <c r="P23" s="34"/>
      <c r="Q23" s="34"/>
    </row>
    <row r="24" customFormat="false" ht="15" hidden="false" customHeight="false" outlineLevel="0" collapsed="false">
      <c r="B24" s="17"/>
      <c r="C24" s="25"/>
      <c r="D24" s="26"/>
      <c r="E24" s="17"/>
      <c r="F24" s="34"/>
      <c r="G24" s="34"/>
      <c r="H24" s="34"/>
      <c r="I24" s="34"/>
      <c r="J24" s="34"/>
      <c r="K24" s="34"/>
      <c r="L24" s="34"/>
      <c r="M24" s="34"/>
      <c r="N24" s="34"/>
      <c r="O24" s="34"/>
      <c r="P24" s="34"/>
      <c r="Q24" s="34"/>
    </row>
    <row r="25" customFormat="false" ht="15" hidden="false" customHeight="false" outlineLevel="0" collapsed="false">
      <c r="B25" s="17"/>
      <c r="C25" s="25"/>
      <c r="D25" s="26"/>
      <c r="E25" s="17"/>
      <c r="F25" s="34"/>
      <c r="G25" s="34"/>
      <c r="H25" s="34"/>
      <c r="I25" s="34"/>
      <c r="J25" s="34"/>
      <c r="K25" s="34"/>
      <c r="L25" s="34"/>
      <c r="M25" s="34"/>
      <c r="N25" s="34"/>
      <c r="O25" s="34"/>
      <c r="P25" s="34"/>
      <c r="Q25" s="34"/>
    </row>
    <row r="26" customFormat="false" ht="15" hidden="false" customHeight="false" outlineLevel="0" collapsed="false">
      <c r="B26" s="17"/>
      <c r="C26" s="25"/>
      <c r="D26" s="26"/>
      <c r="E26" s="17"/>
      <c r="F26" s="34"/>
      <c r="G26" s="34"/>
      <c r="H26" s="34"/>
      <c r="I26" s="34"/>
      <c r="J26" s="34"/>
      <c r="K26" s="34"/>
      <c r="L26" s="34"/>
      <c r="M26" s="34"/>
      <c r="N26" s="34"/>
      <c r="O26" s="34"/>
      <c r="P26" s="34"/>
      <c r="Q26" s="34"/>
    </row>
    <row r="27" customFormat="false" ht="15" hidden="false" customHeight="false" outlineLevel="0" collapsed="false">
      <c r="B27" s="17"/>
      <c r="C27" s="25"/>
      <c r="D27" s="26"/>
      <c r="E27" s="17"/>
      <c r="F27" s="34"/>
      <c r="G27" s="34"/>
      <c r="H27" s="34"/>
      <c r="I27" s="34"/>
      <c r="J27" s="34"/>
      <c r="K27" s="34"/>
      <c r="L27" s="34"/>
      <c r="M27" s="34"/>
      <c r="N27" s="34"/>
      <c r="O27" s="34"/>
      <c r="P27" s="34"/>
      <c r="Q27" s="34"/>
    </row>
    <row r="28" customFormat="false" ht="15" hidden="false" customHeight="false" outlineLevel="0" collapsed="false">
      <c r="B28" s="17"/>
      <c r="C28" s="25"/>
      <c r="D28" s="26"/>
      <c r="E28" s="17"/>
      <c r="F28" s="34"/>
      <c r="G28" s="34"/>
      <c r="H28" s="34"/>
      <c r="I28" s="34"/>
      <c r="J28" s="34"/>
      <c r="K28" s="34"/>
      <c r="L28" s="34"/>
      <c r="M28" s="34"/>
      <c r="N28" s="34"/>
      <c r="O28" s="34"/>
      <c r="P28" s="34"/>
      <c r="Q28" s="34"/>
    </row>
    <row r="29" customFormat="false" ht="15" hidden="false" customHeight="false" outlineLevel="0" collapsed="false">
      <c r="B29" s="17"/>
      <c r="C29" s="25"/>
      <c r="D29" s="26"/>
      <c r="E29" s="17"/>
      <c r="F29" s="34"/>
      <c r="G29" s="34"/>
      <c r="H29" s="34"/>
      <c r="I29" s="34"/>
      <c r="J29" s="34"/>
      <c r="K29" s="34"/>
      <c r="L29" s="34"/>
      <c r="M29" s="34"/>
      <c r="N29" s="34"/>
      <c r="O29" s="34"/>
      <c r="P29" s="34"/>
      <c r="Q29" s="34"/>
    </row>
    <row r="30" customFormat="false" ht="15" hidden="false" customHeight="false" outlineLevel="0" collapsed="false">
      <c r="B30" s="17"/>
      <c r="C30" s="25"/>
      <c r="D30" s="26"/>
      <c r="E30" s="17"/>
      <c r="F30" s="34"/>
      <c r="G30" s="34"/>
      <c r="H30" s="34"/>
      <c r="I30" s="34"/>
      <c r="J30" s="34"/>
      <c r="K30" s="34"/>
      <c r="L30" s="34"/>
      <c r="M30" s="34"/>
      <c r="N30" s="34"/>
      <c r="O30" s="34"/>
      <c r="P30" s="34"/>
      <c r="Q30" s="34"/>
    </row>
    <row r="31" customFormat="false" ht="15" hidden="false" customHeight="false" outlineLevel="0" collapsed="false">
      <c r="B31" s="17"/>
      <c r="C31" s="25"/>
      <c r="D31" s="26"/>
      <c r="E31" s="17"/>
      <c r="F31" s="34"/>
      <c r="G31" s="34"/>
      <c r="H31" s="34"/>
      <c r="I31" s="34"/>
      <c r="J31" s="34"/>
      <c r="K31" s="34"/>
      <c r="L31" s="34"/>
      <c r="M31" s="34"/>
      <c r="N31" s="34"/>
      <c r="O31" s="34"/>
      <c r="P31" s="34"/>
      <c r="Q31" s="34"/>
    </row>
    <row r="32" customFormat="false" ht="15" hidden="false" customHeight="false" outlineLevel="0" collapsed="false">
      <c r="B32" s="19" t="s">
        <v>138</v>
      </c>
      <c r="D32" s="23" t="n">
        <f aca="false">SUM(D7:D31)</f>
        <v>1910.99</v>
      </c>
    </row>
  </sheetData>
  <sheetProtection sheet="true" formatColumns="false" formatRows="false" insertRows="false" sort="false" autoFilter="false"/>
  <dataValidations count="2">
    <dataValidation allowBlank="true" errorStyle="stop" operator="between" showDropDown="false" showErrorMessage="false" showInputMessage="false" sqref="F7:Q31" type="list">
      <formula1>"✓"</formula1>
      <formula2>0</formula2>
    </dataValidation>
    <dataValidation allowBlank="true" errorStyle="stop" operator="between" showDropDown="false" showErrorMessage="false" showInputMessage="false" sqref="E7:E31" type="list">
      <formula1>"Yes,No"</formula1>
      <formula2>0</formula2>
    </dataValidation>
  </dataValidations>
  <hyperlinks>
    <hyperlink ref="B4" r:id="rId1" location="'Start%20here'!A1" display="Start here"/>
    <hyperlink ref="C4" r:id="rId2" location="'Dashboard'!A1" display="Dashboard"/>
    <hyperlink ref="D4" r:id="rId3" location="'Setup'!A1" display="Setup"/>
    <hyperlink ref="E4" r:id="rId4" location="'January'!A1" display="Months"/>
    <hyperlink ref="F4" r:id="rId5" location="'Bills'!A1" display="Bills"/>
    <hyperlink ref="G4" r:id="rId6" location="'Paycheck%20plan'!A1" display="Paycheck"/>
    <hyperlink ref="H4" r:id="rId7" location="'Debt%20payoff'!A1" display="Debt"/>
    <hyperlink ref="I4" r:id="rId8" location="'Savings%20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6"/>
    <col collapsed="false" customWidth="true" hidden="false" outlineLevel="0" max="3" min="3" style="0" width="14"/>
    <col collapsed="false" customWidth="true" hidden="false" outlineLevel="0" max="5" min="4" style="0" width="18"/>
    <col collapsed="false" customWidth="true" hidden="false" outlineLevel="0" max="29" min="6" style="0" width="14"/>
  </cols>
  <sheetData>
    <row r="2" customFormat="false" ht="33.75" hidden="false" customHeight="true" outlineLevel="0" collapsed="false">
      <c r="B2" s="1" t="s">
        <v>139</v>
      </c>
    </row>
    <row r="3" customFormat="false" ht="15" hidden="false" customHeight="false" outlineLevel="0" collapsed="false">
      <c r="B3" s="2" t="s">
        <v>140</v>
      </c>
    </row>
    <row r="4" customFormat="false" ht="15" hidden="false" customHeight="false" outlineLevel="0" collapsed="false">
      <c r="B4" s="3" t="s">
        <v>2</v>
      </c>
      <c r="C4" s="3" t="s">
        <v>3</v>
      </c>
      <c r="D4" s="3" t="s">
        <v>4</v>
      </c>
      <c r="E4" s="3" t="s">
        <v>5</v>
      </c>
      <c r="F4" s="3" t="s">
        <v>6</v>
      </c>
      <c r="G4" s="3" t="s">
        <v>7</v>
      </c>
      <c r="H4" s="3" t="s">
        <v>8</v>
      </c>
      <c r="I4" s="3" t="s">
        <v>9</v>
      </c>
    </row>
    <row r="6" customFormat="false" ht="15" hidden="false" customHeight="false" outlineLevel="0" collapsed="false">
      <c r="B6" s="19" t="s">
        <v>141</v>
      </c>
      <c r="C6" s="35" t="n">
        <f aca="false">DATE(Year,1,1)+MOD(6-WEEKDAY(DATE(Year,1,1)),7)</f>
        <v>46388</v>
      </c>
    </row>
    <row r="7" customFormat="false" ht="15" hidden="false" customHeight="false" outlineLevel="0" collapsed="false">
      <c r="B7" s="19" t="s">
        <v>142</v>
      </c>
      <c r="C7" s="17" t="s">
        <v>143</v>
      </c>
    </row>
    <row r="8" customFormat="false" ht="15" hidden="false" customHeight="false" outlineLevel="0" collapsed="false">
      <c r="B8" s="19" t="s">
        <v>144</v>
      </c>
      <c r="C8" s="26" t="n">
        <f aca="false">ROUND(Setup!$C$10*12/CHOOSE(MATCH($C$7,{"Weekly","Every 2 weeks","Twice a month","Monthly"},0),52,26,24,12),2)</f>
        <v>1661.54</v>
      </c>
      <c r="D8" s="29" t="s">
        <v>145</v>
      </c>
    </row>
    <row r="10" customFormat="false" ht="21.75" hidden="false" customHeight="true" outlineLevel="0" collapsed="false">
      <c r="B10" s="10" t="s">
        <v>146</v>
      </c>
      <c r="C10" s="10" t="s">
        <v>7</v>
      </c>
      <c r="D10" s="10" t="s">
        <v>147</v>
      </c>
      <c r="E10" s="10" t="s">
        <v>148</v>
      </c>
      <c r="F10" s="10" t="s">
        <v>141</v>
      </c>
    </row>
    <row r="11" customFormat="false" ht="15" hidden="false" customHeight="false" outlineLevel="0" collapsed="false">
      <c r="B11" s="36" t="n">
        <f aca="false">$C$6</f>
        <v>46388</v>
      </c>
      <c r="C11" s="26" t="n">
        <f aca="false">IF(B11="","",$C$8)</f>
        <v>1661.54</v>
      </c>
      <c r="D11" s="22" t="n">
        <f aca="false">IF(B11="","",SUMPRODUCT((Bills!$C$7:$C$31&lt;&gt;"")*(DATE(YEAR(B11),MONTH(B11)+(DAY(B11)&gt;Bills!$C$7:$C$31),Bills!$C$7:$C$31)&lt;F11)*Bills!$D$7:$D$31))</f>
        <v>1495</v>
      </c>
      <c r="E11" s="23" t="n">
        <f aca="false">IF(B11="","",C11-D11)</f>
        <v>166.54</v>
      </c>
      <c r="F11" s="37" t="n">
        <f aca="false">IF(B11="","",CHOOSE(MATCH($C$7,{"Weekly","Every 2 weeks","Twice a month","Monthly"},0),B11+7,B11+14,IF(DAY(B11)&lt;15,DATE(YEAR(B11),MONTH(B11),15),DATE(YEAR(B11),MONTH(B11)+1,1)),EDATE(B11,1)))</f>
        <v>46402</v>
      </c>
    </row>
    <row r="12" customFormat="false" ht="15" hidden="false" customHeight="false" outlineLevel="0" collapsed="false">
      <c r="B12" s="36" t="n">
        <f aca="false">IF(F11="","",IF(F11&gt;DATE(Year,12,31),"",F11))</f>
        <v>46402</v>
      </c>
      <c r="C12" s="26" t="n">
        <f aca="false">IF(B12="","",$C$8)</f>
        <v>1661.54</v>
      </c>
      <c r="D12" s="22" t="n">
        <f aca="false">IF(B12="","",SUMPRODUCT((Bills!$C$7:$C$31&lt;&gt;"")*(DATE(YEAR(B12),MONTH(B12)+(DAY(B12)&gt;Bills!$C$7:$C$31),Bills!$C$7:$C$31)&lt;F12)*Bills!$D$7:$D$31))</f>
        <v>415.99</v>
      </c>
      <c r="E12" s="23" t="n">
        <f aca="false">IF(B12="","",C12-D12)</f>
        <v>1245.55</v>
      </c>
      <c r="F12" s="37" t="n">
        <f aca="false">IF(B12="","",CHOOSE(MATCH($C$7,{"Weekly","Every 2 weeks","Twice a month","Monthly"},0),B12+7,B12+14,IF(DAY(B12)&lt;15,DATE(YEAR(B12),MONTH(B12),15),DATE(YEAR(B12),MONTH(B12)+1,1)),EDATE(B12,1)))</f>
        <v>46416</v>
      </c>
    </row>
    <row r="13" customFormat="false" ht="15" hidden="false" customHeight="false" outlineLevel="0" collapsed="false">
      <c r="B13" s="36" t="n">
        <f aca="false">IF(F12="","",IF(F12&gt;DATE(Year,12,31),"",F12))</f>
        <v>46416</v>
      </c>
      <c r="C13" s="26" t="n">
        <f aca="false">IF(B13="","",$C$8)</f>
        <v>1661.54</v>
      </c>
      <c r="D13" s="22" t="n">
        <f aca="false">IF(B13="","",SUMPRODUCT((Bills!$C$7:$C$31&lt;&gt;"")*(DATE(YEAR(B13),MONTH(B13)+(DAY(B13)&gt;Bills!$C$7:$C$31),Bills!$C$7:$C$31)&lt;F13)*Bills!$D$7:$D$31))</f>
        <v>1400</v>
      </c>
      <c r="E13" s="23" t="n">
        <f aca="false">IF(B13="","",C13-D13)</f>
        <v>261.54</v>
      </c>
      <c r="F13" s="37" t="n">
        <f aca="false">IF(B13="","",CHOOSE(MATCH($C$7,{"Weekly","Every 2 weeks","Twice a month","Monthly"},0),B13+7,B13+14,IF(DAY(B13)&lt;15,DATE(YEAR(B13),MONTH(B13),15),DATE(YEAR(B13),MONTH(B13)+1,1)),EDATE(B13,1)))</f>
        <v>46430</v>
      </c>
    </row>
    <row r="14" customFormat="false" ht="15" hidden="false" customHeight="false" outlineLevel="0" collapsed="false">
      <c r="B14" s="36" t="n">
        <f aca="false">IF(F13="","",IF(F13&gt;DATE(Year,12,31),"",F13))</f>
        <v>46430</v>
      </c>
      <c r="C14" s="26" t="n">
        <f aca="false">IF(B14="","",$C$8)</f>
        <v>1661.54</v>
      </c>
      <c r="D14" s="22" t="n">
        <f aca="false">IF(B14="","",SUMPRODUCT((Bills!$C$7:$C$31&lt;&gt;"")*(DATE(YEAR(B14),MONTH(B14)+(DAY(B14)&gt;Bills!$C$7:$C$31),Bills!$C$7:$C$31)&lt;F14)*Bills!$D$7:$D$31))</f>
        <v>510.99</v>
      </c>
      <c r="E14" s="23" t="n">
        <f aca="false">IF(B14="","",C14-D14)</f>
        <v>1150.55</v>
      </c>
      <c r="F14" s="37" t="n">
        <f aca="false">IF(B14="","",CHOOSE(MATCH($C$7,{"Weekly","Every 2 weeks","Twice a month","Monthly"},0),B14+7,B14+14,IF(DAY(B14)&lt;15,DATE(YEAR(B14),MONTH(B14),15),DATE(YEAR(B14),MONTH(B14)+1,1)),EDATE(B14,1)))</f>
        <v>46444</v>
      </c>
    </row>
    <row r="15" customFormat="false" ht="15" hidden="false" customHeight="false" outlineLevel="0" collapsed="false">
      <c r="B15" s="36" t="n">
        <f aca="false">IF(F14="","",IF(F14&gt;DATE(Year,12,31),"",F14))</f>
        <v>46444</v>
      </c>
      <c r="C15" s="26" t="n">
        <f aca="false">IF(B15="","",$C$8)</f>
        <v>1661.54</v>
      </c>
      <c r="D15" s="22" t="n">
        <f aca="false">IF(B15="","",SUMPRODUCT((Bills!$C$7:$C$31&lt;&gt;"")*(DATE(YEAR(B15),MONTH(B15)+(DAY(B15)&gt;Bills!$C$7:$C$31),Bills!$C$7:$C$31)&lt;F15)*Bills!$D$7:$D$31))</f>
        <v>1400</v>
      </c>
      <c r="E15" s="23" t="n">
        <f aca="false">IF(B15="","",C15-D15)</f>
        <v>261.54</v>
      </c>
      <c r="F15" s="37" t="n">
        <f aca="false">IF(B15="","",CHOOSE(MATCH($C$7,{"Weekly","Every 2 weeks","Twice a month","Monthly"},0),B15+7,B15+14,IF(DAY(B15)&lt;15,DATE(YEAR(B15),MONTH(B15),15),DATE(YEAR(B15),MONTH(B15)+1,1)),EDATE(B15,1)))</f>
        <v>46458</v>
      </c>
    </row>
    <row r="16" customFormat="false" ht="15" hidden="false" customHeight="false" outlineLevel="0" collapsed="false">
      <c r="B16" s="36" t="n">
        <f aca="false">IF(F15="","",IF(F15&gt;DATE(Year,12,31),"",F15))</f>
        <v>46458</v>
      </c>
      <c r="C16" s="26" t="n">
        <f aca="false">IF(B16="","",$C$8)</f>
        <v>1661.54</v>
      </c>
      <c r="D16" s="22" t="n">
        <f aca="false">IF(B16="","",SUMPRODUCT((Bills!$C$7:$C$31&lt;&gt;"")*(DATE(YEAR(B16),MONTH(B16)+(DAY(B16)&gt;Bills!$C$7:$C$31),Bills!$C$7:$C$31)&lt;F16)*Bills!$D$7:$D$31))</f>
        <v>510.99</v>
      </c>
      <c r="E16" s="23" t="n">
        <f aca="false">IF(B16="","",C16-D16)</f>
        <v>1150.55</v>
      </c>
      <c r="F16" s="37" t="n">
        <f aca="false">IF(B16="","",CHOOSE(MATCH($C$7,{"Weekly","Every 2 weeks","Twice a month","Monthly"},0),B16+7,B16+14,IF(DAY(B16)&lt;15,DATE(YEAR(B16),MONTH(B16),15),DATE(YEAR(B16),MONTH(B16)+1,1)),EDATE(B16,1)))</f>
        <v>46472</v>
      </c>
    </row>
    <row r="17" customFormat="false" ht="15" hidden="false" customHeight="false" outlineLevel="0" collapsed="false">
      <c r="B17" s="36" t="n">
        <f aca="false">IF(F16="","",IF(F16&gt;DATE(Year,12,31),"",F16))</f>
        <v>46472</v>
      </c>
      <c r="C17" s="26" t="n">
        <f aca="false">IF(B17="","",$C$8)</f>
        <v>1661.54</v>
      </c>
      <c r="D17" s="22" t="n">
        <f aca="false">IF(B17="","",SUMPRODUCT((Bills!$C$7:$C$31&lt;&gt;"")*(DATE(YEAR(B17),MONTH(B17)+(DAY(B17)&gt;Bills!$C$7:$C$31),Bills!$C$7:$C$31)&lt;F17)*Bills!$D$7:$D$31))</f>
        <v>1400</v>
      </c>
      <c r="E17" s="23" t="n">
        <f aca="false">IF(B17="","",C17-D17)</f>
        <v>261.54</v>
      </c>
      <c r="F17" s="37" t="n">
        <f aca="false">IF(B17="","",CHOOSE(MATCH($C$7,{"Weekly","Every 2 weeks","Twice a month","Monthly"},0),B17+7,B17+14,IF(DAY(B17)&lt;15,DATE(YEAR(B17),MONTH(B17),15),DATE(YEAR(B17),MONTH(B17)+1,1)),EDATE(B17,1)))</f>
        <v>46486</v>
      </c>
    </row>
    <row r="18" customFormat="false" ht="15" hidden="false" customHeight="false" outlineLevel="0" collapsed="false">
      <c r="B18" s="36" t="n">
        <f aca="false">IF(F17="","",IF(F17&gt;DATE(Year,12,31),"",F17))</f>
        <v>46486</v>
      </c>
      <c r="C18" s="26" t="n">
        <f aca="false">IF(B18="","",$C$8)</f>
        <v>1661.54</v>
      </c>
      <c r="D18" s="22" t="n">
        <f aca="false">IF(B18="","",SUMPRODUCT((Bills!$C$7:$C$31&lt;&gt;"")*(DATE(YEAR(B18),MONTH(B18)+(DAY(B18)&gt;Bills!$C$7:$C$31),Bills!$C$7:$C$31)&lt;F18)*Bills!$D$7:$D$31))</f>
        <v>360.99</v>
      </c>
      <c r="E18" s="23" t="n">
        <f aca="false">IF(B18="","",C18-D18)</f>
        <v>1300.55</v>
      </c>
      <c r="F18" s="37" t="n">
        <f aca="false">IF(B18="","",CHOOSE(MATCH($C$7,{"Weekly","Every 2 weeks","Twice a month","Monthly"},0),B18+7,B18+14,IF(DAY(B18)&lt;15,DATE(YEAR(B18),MONTH(B18),15),DATE(YEAR(B18),MONTH(B18)+1,1)),EDATE(B18,1)))</f>
        <v>46500</v>
      </c>
    </row>
    <row r="19" customFormat="false" ht="15" hidden="false" customHeight="false" outlineLevel="0" collapsed="false">
      <c r="B19" s="36" t="n">
        <f aca="false">IF(F18="","",IF(F18&gt;DATE(Year,12,31),"",F18))</f>
        <v>46500</v>
      </c>
      <c r="C19" s="26" t="n">
        <f aca="false">IF(B19="","",$C$8)</f>
        <v>1661.54</v>
      </c>
      <c r="D19" s="22" t="n">
        <f aca="false">IF(B19="","",SUMPRODUCT((Bills!$C$7:$C$31&lt;&gt;"")*(DATE(YEAR(B19),MONTH(B19)+(DAY(B19)&gt;Bills!$C$7:$C$31),Bills!$C$7:$C$31)&lt;F19)*Bills!$D$7:$D$31))</f>
        <v>1550</v>
      </c>
      <c r="E19" s="23" t="n">
        <f aca="false">IF(B19="","",C19-D19)</f>
        <v>111.54</v>
      </c>
      <c r="F19" s="37" t="n">
        <f aca="false">IF(B19="","",CHOOSE(MATCH($C$7,{"Weekly","Every 2 weeks","Twice a month","Monthly"},0),B19+7,B19+14,IF(DAY(B19)&lt;15,DATE(YEAR(B19),MONTH(B19),15),DATE(YEAR(B19),MONTH(B19)+1,1)),EDATE(B19,1)))</f>
        <v>46514</v>
      </c>
    </row>
    <row r="20" customFormat="false" ht="15" hidden="false" customHeight="false" outlineLevel="0" collapsed="false">
      <c r="B20" s="36" t="n">
        <f aca="false">IF(F19="","",IF(F19&gt;DATE(Year,12,31),"",F19))</f>
        <v>46514</v>
      </c>
      <c r="C20" s="26" t="n">
        <f aca="false">IF(B20="","",$C$8)</f>
        <v>1661.54</v>
      </c>
      <c r="D20" s="22" t="n">
        <f aca="false">IF(B20="","",SUMPRODUCT((Bills!$C$7:$C$31&lt;&gt;"")*(DATE(YEAR(B20),MONTH(B20)+(DAY(B20)&gt;Bills!$C$7:$C$31),Bills!$C$7:$C$31)&lt;F20)*Bills!$D$7:$D$31))</f>
        <v>270.99</v>
      </c>
      <c r="E20" s="23" t="n">
        <f aca="false">IF(B20="","",C20-D20)</f>
        <v>1390.55</v>
      </c>
      <c r="F20" s="37" t="n">
        <f aca="false">IF(B20="","",CHOOSE(MATCH($C$7,{"Weekly","Every 2 weeks","Twice a month","Monthly"},0),B20+7,B20+14,IF(DAY(B20)&lt;15,DATE(YEAR(B20),MONTH(B20),15),DATE(YEAR(B20),MONTH(B20)+1,1)),EDATE(B20,1)))</f>
        <v>46528</v>
      </c>
    </row>
    <row r="21" customFormat="false" ht="15" hidden="false" customHeight="false" outlineLevel="0" collapsed="false">
      <c r="B21" s="36" t="n">
        <f aca="false">IF(F20="","",IF(F20&gt;DATE(Year,12,31),"",F20))</f>
        <v>46528</v>
      </c>
      <c r="C21" s="26" t="n">
        <f aca="false">IF(B21="","",$C$8)</f>
        <v>1661.54</v>
      </c>
      <c r="D21" s="22" t="n">
        <f aca="false">IF(B21="","",SUMPRODUCT((Bills!$C$7:$C$31&lt;&gt;"")*(DATE(YEAR(B21),MONTH(B21)+(DAY(B21)&gt;Bills!$C$7:$C$31),Bills!$C$7:$C$31)&lt;F21)*Bills!$D$7:$D$31))</f>
        <v>1640</v>
      </c>
      <c r="E21" s="23" t="n">
        <f aca="false">IF(B21="","",C21-D21)</f>
        <v>21.54</v>
      </c>
      <c r="F21" s="37" t="n">
        <f aca="false">IF(B21="","",CHOOSE(MATCH($C$7,{"Weekly","Every 2 weeks","Twice a month","Monthly"},0),B21+7,B21+14,IF(DAY(B21)&lt;15,DATE(YEAR(B21),MONTH(B21),15),DATE(YEAR(B21),MONTH(B21)+1,1)),EDATE(B21,1)))</f>
        <v>46542</v>
      </c>
    </row>
    <row r="22" customFormat="false" ht="15" hidden="false" customHeight="false" outlineLevel="0" collapsed="false">
      <c r="B22" s="36" t="n">
        <f aca="false">IF(F21="","",IF(F21&gt;DATE(Year,12,31),"",F21))</f>
        <v>46542</v>
      </c>
      <c r="C22" s="26" t="n">
        <f aca="false">IF(B22="","",$C$8)</f>
        <v>1661.54</v>
      </c>
      <c r="D22" s="22" t="n">
        <f aca="false">IF(B22="","",SUMPRODUCT((Bills!$C$7:$C$31&lt;&gt;"")*(DATE(YEAR(B22),MONTH(B22)+(DAY(B22)&gt;Bills!$C$7:$C$31),Bills!$C$7:$C$31)&lt;F22)*Bills!$D$7:$D$31))</f>
        <v>95</v>
      </c>
      <c r="E22" s="23" t="n">
        <f aca="false">IF(B22="","",C22-D22)</f>
        <v>1566.54</v>
      </c>
      <c r="F22" s="37" t="n">
        <f aca="false">IF(B22="","",CHOOSE(MATCH($C$7,{"Weekly","Every 2 weeks","Twice a month","Monthly"},0),B22+7,B22+14,IF(DAY(B22)&lt;15,DATE(YEAR(B22),MONTH(B22),15),DATE(YEAR(B22),MONTH(B22)+1,1)),EDATE(B22,1)))</f>
        <v>46556</v>
      </c>
    </row>
    <row r="23" customFormat="false" ht="15" hidden="false" customHeight="false" outlineLevel="0" collapsed="false">
      <c r="B23" s="36" t="n">
        <f aca="false">IF(F22="","",IF(F22&gt;DATE(Year,12,31),"",F22))</f>
        <v>46556</v>
      </c>
      <c r="C23" s="26" t="n">
        <f aca="false">IF(B23="","",$C$8)</f>
        <v>1661.54</v>
      </c>
      <c r="D23" s="22" t="n">
        <f aca="false">IF(B23="","",SUMPRODUCT((Bills!$C$7:$C$31&lt;&gt;"")*(DATE(YEAR(B23),MONTH(B23)+(DAY(B23)&gt;Bills!$C$7:$C$31),Bills!$C$7:$C$31)&lt;F23)*Bills!$D$7:$D$31))</f>
        <v>1815.99</v>
      </c>
      <c r="E23" s="23" t="n">
        <f aca="false">IF(B23="","",C23-D23)</f>
        <v>-154.45</v>
      </c>
      <c r="F23" s="37" t="n">
        <f aca="false">IF(B23="","",CHOOSE(MATCH($C$7,{"Weekly","Every 2 weeks","Twice a month","Monthly"},0),B23+7,B23+14,IF(DAY(B23)&lt;15,DATE(YEAR(B23),MONTH(B23),15),DATE(YEAR(B23),MONTH(B23)+1,1)),EDATE(B23,1)))</f>
        <v>46570</v>
      </c>
    </row>
    <row r="24" customFormat="false" ht="15" hidden="false" customHeight="false" outlineLevel="0" collapsed="false">
      <c r="B24" s="36" t="n">
        <f aca="false">IF(F23="","",IF(F23&gt;DATE(Year,12,31),"",F23))</f>
        <v>46570</v>
      </c>
      <c r="C24" s="26" t="n">
        <f aca="false">IF(B24="","",$C$8)</f>
        <v>1661.54</v>
      </c>
      <c r="D24" s="22" t="n">
        <f aca="false">IF(B24="","",SUMPRODUCT((Bills!$C$7:$C$31&lt;&gt;"")*(DATE(YEAR(B24),MONTH(B24)+(DAY(B24)&gt;Bills!$C$7:$C$31),Bills!$C$7:$C$31)&lt;F24)*Bills!$D$7:$D$31))</f>
        <v>95</v>
      </c>
      <c r="E24" s="23" t="n">
        <f aca="false">IF(B24="","",C24-D24)</f>
        <v>1566.54</v>
      </c>
      <c r="F24" s="37" t="n">
        <f aca="false">IF(B24="","",CHOOSE(MATCH($C$7,{"Weekly","Every 2 weeks","Twice a month","Monthly"},0),B24+7,B24+14,IF(DAY(B24)&lt;15,DATE(YEAR(B24),MONTH(B24),15),DATE(YEAR(B24),MONTH(B24)+1,1)),EDATE(B24,1)))</f>
        <v>46584</v>
      </c>
    </row>
    <row r="25" customFormat="false" ht="15" hidden="false" customHeight="false" outlineLevel="0" collapsed="false">
      <c r="B25" s="36" t="n">
        <f aca="false">IF(F24="","",IF(F24&gt;DATE(Year,12,31),"",F24))</f>
        <v>46584</v>
      </c>
      <c r="C25" s="26" t="n">
        <f aca="false">IF(B25="","",$C$8)</f>
        <v>1661.54</v>
      </c>
      <c r="D25" s="22" t="n">
        <f aca="false">IF(B25="","",SUMPRODUCT((Bills!$C$7:$C$31&lt;&gt;"")*(DATE(YEAR(B25),MONTH(B25)+(DAY(B25)&gt;Bills!$C$7:$C$31),Bills!$C$7:$C$31)&lt;F25)*Bills!$D$7:$D$31))</f>
        <v>415.99</v>
      </c>
      <c r="E25" s="23" t="n">
        <f aca="false">IF(B25="","",C25-D25)</f>
        <v>1245.55</v>
      </c>
      <c r="F25" s="37" t="n">
        <f aca="false">IF(B25="","",CHOOSE(MATCH($C$7,{"Weekly","Every 2 weeks","Twice a month","Monthly"},0),B25+7,B25+14,IF(DAY(B25)&lt;15,DATE(YEAR(B25),MONTH(B25),15),DATE(YEAR(B25),MONTH(B25)+1,1)),EDATE(B25,1)))</f>
        <v>46598</v>
      </c>
    </row>
    <row r="26" customFormat="false" ht="15" hidden="false" customHeight="false" outlineLevel="0" collapsed="false">
      <c r="B26" s="36" t="n">
        <f aca="false">IF(F25="","",IF(F25&gt;DATE(Year,12,31),"",F25))</f>
        <v>46598</v>
      </c>
      <c r="C26" s="26" t="n">
        <f aca="false">IF(B26="","",$C$8)</f>
        <v>1661.54</v>
      </c>
      <c r="D26" s="22" t="n">
        <f aca="false">IF(B26="","",SUMPRODUCT((Bills!$C$7:$C$31&lt;&gt;"")*(DATE(YEAR(B26),MONTH(B26)+(DAY(B26)&gt;Bills!$C$7:$C$31),Bills!$C$7:$C$31)&lt;F26)*Bills!$D$7:$D$31))</f>
        <v>1400</v>
      </c>
      <c r="E26" s="23" t="n">
        <f aca="false">IF(B26="","",C26-D26)</f>
        <v>261.54</v>
      </c>
      <c r="F26" s="37" t="n">
        <f aca="false">IF(B26="","",CHOOSE(MATCH($C$7,{"Weekly","Every 2 weeks","Twice a month","Monthly"},0),B26+7,B26+14,IF(DAY(B26)&lt;15,DATE(YEAR(B26),MONTH(B26),15),DATE(YEAR(B26),MONTH(B26)+1,1)),EDATE(B26,1)))</f>
        <v>46612</v>
      </c>
    </row>
    <row r="27" customFormat="false" ht="15" hidden="false" customHeight="false" outlineLevel="0" collapsed="false">
      <c r="B27" s="36" t="n">
        <f aca="false">IF(F26="","",IF(F26&gt;DATE(Year,12,31),"",F26))</f>
        <v>46612</v>
      </c>
      <c r="C27" s="26" t="n">
        <f aca="false">IF(B27="","",$C$8)</f>
        <v>1661.54</v>
      </c>
      <c r="D27" s="22" t="n">
        <f aca="false">IF(B27="","",SUMPRODUCT((Bills!$C$7:$C$31&lt;&gt;"")*(DATE(YEAR(B27),MONTH(B27)+(DAY(B27)&gt;Bills!$C$7:$C$31),Bills!$C$7:$C$31)&lt;F27)*Bills!$D$7:$D$31))</f>
        <v>510.99</v>
      </c>
      <c r="E27" s="23" t="n">
        <f aca="false">IF(B27="","",C27-D27)</f>
        <v>1150.55</v>
      </c>
      <c r="F27" s="37" t="n">
        <f aca="false">IF(B27="","",CHOOSE(MATCH($C$7,{"Weekly","Every 2 weeks","Twice a month","Monthly"},0),B27+7,B27+14,IF(DAY(B27)&lt;15,DATE(YEAR(B27),MONTH(B27),15),DATE(YEAR(B27),MONTH(B27)+1,1)),EDATE(B27,1)))</f>
        <v>46626</v>
      </c>
    </row>
    <row r="28" customFormat="false" ht="15" hidden="false" customHeight="false" outlineLevel="0" collapsed="false">
      <c r="B28" s="36" t="n">
        <f aca="false">IF(F27="","",IF(F27&gt;DATE(Year,12,31),"",F27))</f>
        <v>46626</v>
      </c>
      <c r="C28" s="26" t="n">
        <f aca="false">IF(B28="","",$C$8)</f>
        <v>1661.54</v>
      </c>
      <c r="D28" s="22" t="n">
        <f aca="false">IF(B28="","",SUMPRODUCT((Bills!$C$7:$C$31&lt;&gt;"")*(DATE(YEAR(B28),MONTH(B28)+(DAY(B28)&gt;Bills!$C$7:$C$31),Bills!$C$7:$C$31)&lt;F28)*Bills!$D$7:$D$31))</f>
        <v>1400</v>
      </c>
      <c r="E28" s="23" t="n">
        <f aca="false">IF(B28="","",C28-D28)</f>
        <v>261.54</v>
      </c>
      <c r="F28" s="37" t="n">
        <f aca="false">IF(B28="","",CHOOSE(MATCH($C$7,{"Weekly","Every 2 weeks","Twice a month","Monthly"},0),B28+7,B28+14,IF(DAY(B28)&lt;15,DATE(YEAR(B28),MONTH(B28),15),DATE(YEAR(B28),MONTH(B28)+1,1)),EDATE(B28,1)))</f>
        <v>46640</v>
      </c>
    </row>
    <row r="29" customFormat="false" ht="15" hidden="false" customHeight="false" outlineLevel="0" collapsed="false">
      <c r="B29" s="36" t="n">
        <f aca="false">IF(F28="","",IF(F28&gt;DATE(Year,12,31),"",F28))</f>
        <v>46640</v>
      </c>
      <c r="C29" s="26" t="n">
        <f aca="false">IF(B29="","",$C$8)</f>
        <v>1661.54</v>
      </c>
      <c r="D29" s="22" t="n">
        <f aca="false">IF(B29="","",SUMPRODUCT((Bills!$C$7:$C$31&lt;&gt;"")*(DATE(YEAR(B29),MONTH(B29)+(DAY(B29)&gt;Bills!$C$7:$C$31),Bills!$C$7:$C$31)&lt;F29)*Bills!$D$7:$D$31))</f>
        <v>360.99</v>
      </c>
      <c r="E29" s="23" t="n">
        <f aca="false">IF(B29="","",C29-D29)</f>
        <v>1300.55</v>
      </c>
      <c r="F29" s="37" t="n">
        <f aca="false">IF(B29="","",CHOOSE(MATCH($C$7,{"Weekly","Every 2 weeks","Twice a month","Monthly"},0),B29+7,B29+14,IF(DAY(B29)&lt;15,DATE(YEAR(B29),MONTH(B29),15),DATE(YEAR(B29),MONTH(B29)+1,1)),EDATE(B29,1)))</f>
        <v>46654</v>
      </c>
    </row>
    <row r="30" customFormat="false" ht="15" hidden="false" customHeight="false" outlineLevel="0" collapsed="false">
      <c r="B30" s="36" t="n">
        <f aca="false">IF(F29="","",IF(F29&gt;DATE(Year,12,31),"",F29))</f>
        <v>46654</v>
      </c>
      <c r="C30" s="26" t="n">
        <f aca="false">IF(B30="","",$C$8)</f>
        <v>1661.54</v>
      </c>
      <c r="D30" s="22" t="n">
        <f aca="false">IF(B30="","",SUMPRODUCT((Bills!$C$7:$C$31&lt;&gt;"")*(DATE(YEAR(B30),MONTH(B30)+(DAY(B30)&gt;Bills!$C$7:$C$31),Bills!$C$7:$C$31)&lt;F30)*Bills!$D$7:$D$31))</f>
        <v>1550</v>
      </c>
      <c r="E30" s="23" t="n">
        <f aca="false">IF(B30="","",C30-D30)</f>
        <v>111.54</v>
      </c>
      <c r="F30" s="37" t="n">
        <f aca="false">IF(B30="","",CHOOSE(MATCH($C$7,{"Weekly","Every 2 weeks","Twice a month","Monthly"},0),B30+7,B30+14,IF(DAY(B30)&lt;15,DATE(YEAR(B30),MONTH(B30),15),DATE(YEAR(B30),MONTH(B30)+1,1)),EDATE(B30,1)))</f>
        <v>46668</v>
      </c>
    </row>
    <row r="31" customFormat="false" ht="15" hidden="false" customHeight="false" outlineLevel="0" collapsed="false">
      <c r="B31" s="36" t="n">
        <f aca="false">IF(F30="","",IF(F30&gt;DATE(Year,12,31),"",F30))</f>
        <v>46668</v>
      </c>
      <c r="C31" s="26" t="n">
        <f aca="false">IF(B31="","",$C$8)</f>
        <v>1661.54</v>
      </c>
      <c r="D31" s="22" t="n">
        <f aca="false">IF(B31="","",SUMPRODUCT((Bills!$C$7:$C$31&lt;&gt;"")*(DATE(YEAR(B31),MONTH(B31)+(DAY(B31)&gt;Bills!$C$7:$C$31),Bills!$C$7:$C$31)&lt;F31)*Bills!$D$7:$D$31))</f>
        <v>270.99</v>
      </c>
      <c r="E31" s="23" t="n">
        <f aca="false">IF(B31="","",C31-D31)</f>
        <v>1390.55</v>
      </c>
      <c r="F31" s="37" t="n">
        <f aca="false">IF(B31="","",CHOOSE(MATCH($C$7,{"Weekly","Every 2 weeks","Twice a month","Monthly"},0),B31+7,B31+14,IF(DAY(B31)&lt;15,DATE(YEAR(B31),MONTH(B31),15),DATE(YEAR(B31),MONTH(B31)+1,1)),EDATE(B31,1)))</f>
        <v>46682</v>
      </c>
    </row>
    <row r="32" customFormat="false" ht="15" hidden="false" customHeight="false" outlineLevel="0" collapsed="false">
      <c r="B32" s="36" t="n">
        <f aca="false">IF(F31="","",IF(F31&gt;DATE(Year,12,31),"",F31))</f>
        <v>46682</v>
      </c>
      <c r="C32" s="26" t="n">
        <f aca="false">IF(B32="","",$C$8)</f>
        <v>1661.54</v>
      </c>
      <c r="D32" s="22" t="n">
        <f aca="false">IF(B32="","",SUMPRODUCT((Bills!$C$7:$C$31&lt;&gt;"")*(DATE(YEAR(B32),MONTH(B32)+(DAY(B32)&gt;Bills!$C$7:$C$31),Bills!$C$7:$C$31)&lt;F32)*Bills!$D$7:$D$31))</f>
        <v>1640</v>
      </c>
      <c r="E32" s="23" t="n">
        <f aca="false">IF(B32="","",C32-D32)</f>
        <v>21.54</v>
      </c>
      <c r="F32" s="37" t="n">
        <f aca="false">IF(B32="","",CHOOSE(MATCH($C$7,{"Weekly","Every 2 weeks","Twice a month","Monthly"},0),B32+7,B32+14,IF(DAY(B32)&lt;15,DATE(YEAR(B32),MONTH(B32),15),DATE(YEAR(B32),MONTH(B32)+1,1)),EDATE(B32,1)))</f>
        <v>46696</v>
      </c>
    </row>
    <row r="33" customFormat="false" ht="15" hidden="false" customHeight="false" outlineLevel="0" collapsed="false">
      <c r="B33" s="36" t="n">
        <f aca="false">IF(F32="","",IF(F32&gt;DATE(Year,12,31),"",F32))</f>
        <v>46696</v>
      </c>
      <c r="C33" s="26" t="n">
        <f aca="false">IF(B33="","",$C$8)</f>
        <v>1661.54</v>
      </c>
      <c r="D33" s="22" t="n">
        <f aca="false">IF(B33="","",SUMPRODUCT((Bills!$C$7:$C$31&lt;&gt;"")*(DATE(YEAR(B33),MONTH(B33)+(DAY(B33)&gt;Bills!$C$7:$C$31),Bills!$C$7:$C$31)&lt;F33)*Bills!$D$7:$D$31))</f>
        <v>110.99</v>
      </c>
      <c r="E33" s="23" t="n">
        <f aca="false">IF(B33="","",C33-D33)</f>
        <v>1550.55</v>
      </c>
      <c r="F33" s="37" t="n">
        <f aca="false">IF(B33="","",CHOOSE(MATCH($C$7,{"Weekly","Every 2 weeks","Twice a month","Monthly"},0),B33+7,B33+14,IF(DAY(B33)&lt;15,DATE(YEAR(B33),MONTH(B33),15),DATE(YEAR(B33),MONTH(B33)+1,1)),EDATE(B33,1)))</f>
        <v>46710</v>
      </c>
    </row>
    <row r="34" customFormat="false" ht="15" hidden="false" customHeight="false" outlineLevel="0" collapsed="false">
      <c r="B34" s="36" t="n">
        <f aca="false">IF(F33="","",IF(F33&gt;DATE(Year,12,31),"",F33))</f>
        <v>46710</v>
      </c>
      <c r="C34" s="26" t="n">
        <f aca="false">IF(B34="","",$C$8)</f>
        <v>1661.54</v>
      </c>
      <c r="D34" s="22" t="n">
        <f aca="false">IF(B34="","",SUMPRODUCT((Bills!$C$7:$C$31&lt;&gt;"")*(DATE(YEAR(B34),MONTH(B34)+(DAY(B34)&gt;Bills!$C$7:$C$31),Bills!$C$7:$C$31)&lt;F34)*Bills!$D$7:$D$31))</f>
        <v>1800</v>
      </c>
      <c r="E34" s="23" t="n">
        <f aca="false">IF(B34="","",C34-D34)</f>
        <v>-138.46</v>
      </c>
      <c r="F34" s="37" t="n">
        <f aca="false">IF(B34="","",CHOOSE(MATCH($C$7,{"Weekly","Every 2 weeks","Twice a month","Monthly"},0),B34+7,B34+14,IF(DAY(B34)&lt;15,DATE(YEAR(B34),MONTH(B34),15),DATE(YEAR(B34),MONTH(B34)+1,1)),EDATE(B34,1)))</f>
        <v>46724</v>
      </c>
    </row>
    <row r="35" customFormat="false" ht="15" hidden="false" customHeight="false" outlineLevel="0" collapsed="false">
      <c r="B35" s="36" t="n">
        <f aca="false">IF(F34="","",IF(F34&gt;DATE(Year,12,31),"",F34))</f>
        <v>46724</v>
      </c>
      <c r="C35" s="26" t="n">
        <f aca="false">IF(B35="","",$C$8)</f>
        <v>1661.54</v>
      </c>
      <c r="D35" s="22" t="n">
        <f aca="false">IF(B35="","",SUMPRODUCT((Bills!$C$7:$C$31&lt;&gt;"")*(DATE(YEAR(B35),MONTH(B35)+(DAY(B35)&gt;Bills!$C$7:$C$31),Bills!$C$7:$C$31)&lt;F35)*Bills!$D$7:$D$31))</f>
        <v>95</v>
      </c>
      <c r="E35" s="23" t="n">
        <f aca="false">IF(B35="","",C35-D35)</f>
        <v>1566.54</v>
      </c>
      <c r="F35" s="37" t="n">
        <f aca="false">IF(B35="","",CHOOSE(MATCH($C$7,{"Weekly","Every 2 weeks","Twice a month","Monthly"},0),B35+7,B35+14,IF(DAY(B35)&lt;15,DATE(YEAR(B35),MONTH(B35),15),DATE(YEAR(B35),MONTH(B35)+1,1)),EDATE(B35,1)))</f>
        <v>46738</v>
      </c>
    </row>
    <row r="36" customFormat="false" ht="15" hidden="false" customHeight="false" outlineLevel="0" collapsed="false">
      <c r="B36" s="36" t="n">
        <f aca="false">IF(F35="","",IF(F35&gt;DATE(Year,12,31),"",F35))</f>
        <v>46738</v>
      </c>
      <c r="C36" s="26" t="n">
        <f aca="false">IF(B36="","",$C$8)</f>
        <v>1661.54</v>
      </c>
      <c r="D36" s="22" t="n">
        <f aca="false">IF(B36="","",SUMPRODUCT((Bills!$C$7:$C$31&lt;&gt;"")*(DATE(YEAR(B36),MONTH(B36)+(DAY(B36)&gt;Bills!$C$7:$C$31),Bills!$C$7:$C$31)&lt;F36)*Bills!$D$7:$D$31))</f>
        <v>415.99</v>
      </c>
      <c r="E36" s="23" t="n">
        <f aca="false">IF(B36="","",C36-D36)</f>
        <v>1245.55</v>
      </c>
      <c r="F36" s="37" t="n">
        <f aca="false">IF(B36="","",CHOOSE(MATCH($C$7,{"Weekly","Every 2 weeks","Twice a month","Monthly"},0),B36+7,B36+14,IF(DAY(B36)&lt;15,DATE(YEAR(B36),MONTH(B36),15),DATE(YEAR(B36),MONTH(B36)+1,1)),EDATE(B36,1)))</f>
        <v>46752</v>
      </c>
    </row>
    <row r="37" customFormat="false" ht="15" hidden="false" customHeight="false" outlineLevel="0" collapsed="false">
      <c r="B37" s="36" t="n">
        <f aca="false">IF(F36="","",IF(F36&gt;DATE(Year,12,31),"",F36))</f>
        <v>46752</v>
      </c>
      <c r="C37" s="26" t="n">
        <f aca="false">IF(B37="","",$C$8)</f>
        <v>1661.54</v>
      </c>
      <c r="D37" s="22" t="n">
        <f aca="false">IF(B37="","",SUMPRODUCT((Bills!$C$7:$C$31&lt;&gt;"")*(DATE(YEAR(B37),MONTH(B37)+(DAY(B37)&gt;Bills!$C$7:$C$31),Bills!$C$7:$C$31)&lt;F37)*Bills!$D$7:$D$31))</f>
        <v>1400</v>
      </c>
      <c r="E37" s="23" t="n">
        <f aca="false">IF(B37="","",C37-D37)</f>
        <v>261.54</v>
      </c>
      <c r="F37" s="37" t="n">
        <f aca="false">IF(B37="","",CHOOSE(MATCH($C$7,{"Weekly","Every 2 weeks","Twice a month","Monthly"},0),B37+7,B37+14,IF(DAY(B37)&lt;15,DATE(YEAR(B37),MONTH(B37),15),DATE(YEAR(B37),MONTH(B37)+1,1)),EDATE(B37,1)))</f>
        <v>46766</v>
      </c>
    </row>
  </sheetData>
  <sheetProtection sheet="true" formatColumns="false" formatRows="false" insertRows="false" sort="false" autoFilter="false"/>
  <conditionalFormatting sqref="E11:E37">
    <cfRule type="cellIs" priority="2" operator="lessThan" aboveAverage="0" equalAverage="0" bottom="0" percent="0" rank="0" text="" dxfId="1">
      <formula>0</formula>
    </cfRule>
  </conditionalFormatting>
  <dataValidations count="1">
    <dataValidation allowBlank="false" errorStyle="stop" operator="between" showDropDown="false" showErrorMessage="false" showInputMessage="false" sqref="C7" type="list">
      <formula1>"Weekly,Every 2 weeks,Twice a month,Monthly"</formula1>
      <formula2>0</formula2>
    </dataValidation>
  </dataValidations>
  <hyperlinks>
    <hyperlink ref="B4" r:id="rId1" location="'Start%20here'!A1" display="Start here"/>
    <hyperlink ref="C4" r:id="rId2" location="'Dashboard'!A1" display="Dashboard"/>
    <hyperlink ref="D4" r:id="rId3" location="'Setup'!A1" display="Setup"/>
    <hyperlink ref="E4" r:id="rId4" location="'January'!A1" display="Months"/>
    <hyperlink ref="F4" r:id="rId5" location="'Bills'!A1" display="Bills"/>
    <hyperlink ref="G4" r:id="rId6" location="'Paycheck%20plan'!A1" display="Paycheck"/>
    <hyperlink ref="H4" r:id="rId7" location="'Debt%20payoff'!A1" display="Debt"/>
    <hyperlink ref="I4" r:id="rId8" location="'Savings%20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4"/>
    <col collapsed="false" customWidth="true" hidden="false" outlineLevel="0" max="3" min="3" style="0" width="14"/>
    <col collapsed="false" customWidth="true" hidden="false" outlineLevel="0" max="5" min="4" style="0" width="12"/>
    <col collapsed="false" customWidth="true" hidden="false" outlineLevel="0" max="6" min="6" style="0" width="11"/>
    <col collapsed="false" customWidth="true" hidden="false" outlineLevel="0" max="7" min="7" style="0" width="16"/>
    <col collapsed="false" customWidth="true" hidden="false" outlineLevel="0" max="8" min="8" style="0" width="18"/>
    <col collapsed="false" customWidth="true" hidden="false" outlineLevel="0" max="29" min="9" style="0" width="14"/>
  </cols>
  <sheetData>
    <row r="2" customFormat="false" ht="33.75" hidden="false" customHeight="true" outlineLevel="0" collapsed="false">
      <c r="B2" s="1" t="s">
        <v>149</v>
      </c>
    </row>
    <row r="3" customFormat="false" ht="15" hidden="false" customHeight="false" outlineLevel="0" collapsed="false">
      <c r="B3" s="2" t="s">
        <v>150</v>
      </c>
    </row>
    <row r="4" customFormat="false" ht="15" hidden="false" customHeight="false" outlineLevel="0" collapsed="false">
      <c r="B4" s="3" t="s">
        <v>2</v>
      </c>
      <c r="C4" s="3" t="s">
        <v>3</v>
      </c>
      <c r="D4" s="3" t="s">
        <v>4</v>
      </c>
      <c r="E4" s="3" t="s">
        <v>5</v>
      </c>
      <c r="F4" s="3" t="s">
        <v>6</v>
      </c>
      <c r="G4" s="3" t="s">
        <v>7</v>
      </c>
      <c r="H4" s="3" t="s">
        <v>8</v>
      </c>
      <c r="I4" s="3" t="s">
        <v>9</v>
      </c>
    </row>
    <row r="6" customFormat="false" ht="15" hidden="false" customHeight="false" outlineLevel="0" collapsed="false">
      <c r="B6" s="19" t="s">
        <v>151</v>
      </c>
      <c r="C6" s="17" t="s">
        <v>152</v>
      </c>
    </row>
    <row r="7" customFormat="false" ht="15" hidden="false" customHeight="false" outlineLevel="0" collapsed="false">
      <c r="B7" s="19" t="s">
        <v>153</v>
      </c>
      <c r="C7" s="26" t="n">
        <v>100</v>
      </c>
    </row>
    <row r="9" customFormat="false" ht="21.75" hidden="false" customHeight="true" outlineLevel="0" collapsed="false">
      <c r="B9" s="10" t="s">
        <v>8</v>
      </c>
      <c r="C9" s="10" t="s">
        <v>154</v>
      </c>
      <c r="D9" s="10" t="s">
        <v>155</v>
      </c>
      <c r="E9" s="10" t="s">
        <v>156</v>
      </c>
      <c r="F9" s="10" t="s">
        <v>157</v>
      </c>
      <c r="G9" s="10" t="s">
        <v>158</v>
      </c>
      <c r="H9" s="10" t="s">
        <v>159</v>
      </c>
    </row>
    <row r="10" customFormat="false" ht="15" hidden="false" customHeight="false" outlineLevel="0" collapsed="false">
      <c r="B10" s="17" t="s">
        <v>95</v>
      </c>
      <c r="C10" s="26" t="n">
        <v>2400</v>
      </c>
      <c r="D10" s="38" t="n">
        <v>0.2299</v>
      </c>
      <c r="E10" s="26" t="n">
        <v>75</v>
      </c>
      <c r="F10" s="39" t="n">
        <f aca="false">IF(C10="","",IF($C$6="Snowball",COUNTIFS($C$10:$C$19,"&lt;"&amp;C10,$C$10:$C$19,"&lt;&gt;")+1,COUNTIFS($D$10:$D$19,"&gt;"&amp;D10,$C$10:$C$19,"&lt;&gt;")+1))</f>
        <v>1</v>
      </c>
      <c r="G10" s="39" t="n">
        <f aca="false">IF(OR(C10="",E10=""),"",IFERROR(ROUNDUP(NPER(D10/12,-E10,C10),0),"never: raise the minimum"))</f>
        <v>51</v>
      </c>
      <c r="H10" s="22" t="n">
        <f aca="false">IF(OR(C10="",E10="",NOT(ISNUMBER(G10))),"",G10*E10-C10)</f>
        <v>1425</v>
      </c>
    </row>
    <row r="11" customFormat="false" ht="15" hidden="false" customHeight="false" outlineLevel="0" collapsed="false">
      <c r="B11" s="17" t="s">
        <v>160</v>
      </c>
      <c r="C11" s="26" t="n">
        <v>8200</v>
      </c>
      <c r="D11" s="38" t="n">
        <v>0.069</v>
      </c>
      <c r="E11" s="26" t="n">
        <v>210</v>
      </c>
      <c r="F11" s="39" t="n">
        <f aca="false">IF(C11="","",IF($C$6="Snowball",COUNTIFS($C$10:$C$19,"&lt;"&amp;C11,$C$10:$C$19,"&lt;&gt;")+1,COUNTIFS($D$10:$D$19,"&gt;"&amp;D11,$C$10:$C$19,"&lt;&gt;")+1))</f>
        <v>2</v>
      </c>
      <c r="G11" s="39" t="n">
        <f aca="false">IF(OR(C11="",E11=""),"",IFERROR(ROUNDUP(NPER(D11/12,-E11,C11),0),"never: raise the minimum"))</f>
        <v>45</v>
      </c>
      <c r="H11" s="22" t="n">
        <f aca="false">IF(OR(C11="",E11="",NOT(ISNUMBER(G11))),"",G11*E11-C11)</f>
        <v>1250</v>
      </c>
    </row>
    <row r="12" customFormat="false" ht="15" hidden="false" customHeight="false" outlineLevel="0" collapsed="false">
      <c r="B12" s="17" t="s">
        <v>96</v>
      </c>
      <c r="C12" s="26" t="n">
        <v>14500</v>
      </c>
      <c r="D12" s="38" t="n">
        <v>0.055</v>
      </c>
      <c r="E12" s="26" t="n">
        <v>180</v>
      </c>
      <c r="F12" s="39" t="n">
        <f aca="false">IF(C12="","",IF($C$6="Snowball",COUNTIFS($C$10:$C$19,"&lt;"&amp;C12,$C$10:$C$19,"&lt;&gt;")+1,COUNTIFS($D$10:$D$19,"&gt;"&amp;D12,$C$10:$C$19,"&lt;&gt;")+1))</f>
        <v>3</v>
      </c>
      <c r="G12" s="39" t="n">
        <f aca="false">IF(OR(C12="",E12=""),"",IFERROR(ROUNDUP(NPER(D12/12,-E12,C12),0),"never: raise the minimum"))</f>
        <v>101</v>
      </c>
      <c r="H12" s="22" t="n">
        <f aca="false">IF(OR(C12="",E12="",NOT(ISNUMBER(G12))),"",G12*E12-C12)</f>
        <v>3680</v>
      </c>
    </row>
    <row r="13" customFormat="false" ht="15" hidden="false" customHeight="false" outlineLevel="0" collapsed="false">
      <c r="B13" s="17"/>
      <c r="C13" s="26"/>
      <c r="D13" s="38"/>
      <c r="E13" s="26"/>
      <c r="F13" s="39" t="str">
        <f aca="false">IF(C13="","",IF($C$6="Snowball",COUNTIFS($C$10:$C$19,"&lt;"&amp;C13,$C$10:$C$19,"&lt;&gt;")+1,COUNTIFS($D$10:$D$19,"&gt;"&amp;D13,$C$10:$C$19,"&lt;&gt;")+1))</f>
        <v/>
      </c>
      <c r="G13" s="39" t="str">
        <f aca="false">IF(OR(C13="",E13=""),"",IFERROR(ROUNDUP(NPER(D13/12,-E13,C13),0),"never: raise the minimum"))</f>
        <v/>
      </c>
      <c r="H13" s="22" t="str">
        <f aca="false">IF(OR(C13="",E13="",NOT(ISNUMBER(G13))),"",G13*E13-C13)</f>
        <v/>
      </c>
    </row>
    <row r="14" customFormat="false" ht="15" hidden="false" customHeight="false" outlineLevel="0" collapsed="false">
      <c r="B14" s="17"/>
      <c r="C14" s="26"/>
      <c r="D14" s="38"/>
      <c r="E14" s="26"/>
      <c r="F14" s="39" t="str">
        <f aca="false">IF(C14="","",IF($C$6="Snowball",COUNTIFS($C$10:$C$19,"&lt;"&amp;C14,$C$10:$C$19,"&lt;&gt;")+1,COUNTIFS($D$10:$D$19,"&gt;"&amp;D14,$C$10:$C$19,"&lt;&gt;")+1))</f>
        <v/>
      </c>
      <c r="G14" s="39" t="str">
        <f aca="false">IF(OR(C14="",E14=""),"",IFERROR(ROUNDUP(NPER(D14/12,-E14,C14),0),"never: raise the minimum"))</f>
        <v/>
      </c>
      <c r="H14" s="22" t="str">
        <f aca="false">IF(OR(C14="",E14="",NOT(ISNUMBER(G14))),"",G14*E14-C14)</f>
        <v/>
      </c>
    </row>
    <row r="15" customFormat="false" ht="15" hidden="false" customHeight="false" outlineLevel="0" collapsed="false">
      <c r="B15" s="17"/>
      <c r="C15" s="26"/>
      <c r="D15" s="38"/>
      <c r="E15" s="26"/>
      <c r="F15" s="39" t="str">
        <f aca="false">IF(C15="","",IF($C$6="Snowball",COUNTIFS($C$10:$C$19,"&lt;"&amp;C15,$C$10:$C$19,"&lt;&gt;")+1,COUNTIFS($D$10:$D$19,"&gt;"&amp;D15,$C$10:$C$19,"&lt;&gt;")+1))</f>
        <v/>
      </c>
      <c r="G15" s="39" t="str">
        <f aca="false">IF(OR(C15="",E15=""),"",IFERROR(ROUNDUP(NPER(D15/12,-E15,C15),0),"never: raise the minimum"))</f>
        <v/>
      </c>
      <c r="H15" s="22" t="str">
        <f aca="false">IF(OR(C15="",E15="",NOT(ISNUMBER(G15))),"",G15*E15-C15)</f>
        <v/>
      </c>
    </row>
    <row r="16" customFormat="false" ht="15" hidden="false" customHeight="false" outlineLevel="0" collapsed="false">
      <c r="B16" s="17"/>
      <c r="C16" s="26"/>
      <c r="D16" s="38"/>
      <c r="E16" s="26"/>
      <c r="F16" s="39" t="str">
        <f aca="false">IF(C16="","",IF($C$6="Snowball",COUNTIFS($C$10:$C$19,"&lt;"&amp;C16,$C$10:$C$19,"&lt;&gt;")+1,COUNTIFS($D$10:$D$19,"&gt;"&amp;D16,$C$10:$C$19,"&lt;&gt;")+1))</f>
        <v/>
      </c>
      <c r="G16" s="39" t="str">
        <f aca="false">IF(OR(C16="",E16=""),"",IFERROR(ROUNDUP(NPER(D16/12,-E16,C16),0),"never: raise the minimum"))</f>
        <v/>
      </c>
      <c r="H16" s="22" t="str">
        <f aca="false">IF(OR(C16="",E16="",NOT(ISNUMBER(G16))),"",G16*E16-C16)</f>
        <v/>
      </c>
    </row>
    <row r="17" customFormat="false" ht="15" hidden="false" customHeight="false" outlineLevel="0" collapsed="false">
      <c r="B17" s="17"/>
      <c r="C17" s="26"/>
      <c r="D17" s="38"/>
      <c r="E17" s="26"/>
      <c r="F17" s="39" t="str">
        <f aca="false">IF(C17="","",IF($C$6="Snowball",COUNTIFS($C$10:$C$19,"&lt;"&amp;C17,$C$10:$C$19,"&lt;&gt;")+1,COUNTIFS($D$10:$D$19,"&gt;"&amp;D17,$C$10:$C$19,"&lt;&gt;")+1))</f>
        <v/>
      </c>
      <c r="G17" s="39" t="str">
        <f aca="false">IF(OR(C17="",E17=""),"",IFERROR(ROUNDUP(NPER(D17/12,-E17,C17),0),"never: raise the minimum"))</f>
        <v/>
      </c>
      <c r="H17" s="22" t="str">
        <f aca="false">IF(OR(C17="",E17="",NOT(ISNUMBER(G17))),"",G17*E17-C17)</f>
        <v/>
      </c>
    </row>
    <row r="18" customFormat="false" ht="15" hidden="false" customHeight="false" outlineLevel="0" collapsed="false">
      <c r="B18" s="17"/>
      <c r="C18" s="26"/>
      <c r="D18" s="38"/>
      <c r="E18" s="26"/>
      <c r="F18" s="39" t="str">
        <f aca="false">IF(C18="","",IF($C$6="Snowball",COUNTIFS($C$10:$C$19,"&lt;"&amp;C18,$C$10:$C$19,"&lt;&gt;")+1,COUNTIFS($D$10:$D$19,"&gt;"&amp;D18,$C$10:$C$19,"&lt;&gt;")+1))</f>
        <v/>
      </c>
      <c r="G18" s="39" t="str">
        <f aca="false">IF(OR(C18="",E18=""),"",IFERROR(ROUNDUP(NPER(D18/12,-E18,C18),0),"never: raise the minimum"))</f>
        <v/>
      </c>
      <c r="H18" s="22" t="str">
        <f aca="false">IF(OR(C18="",E18="",NOT(ISNUMBER(G18))),"",G18*E18-C18)</f>
        <v/>
      </c>
    </row>
    <row r="19" customFormat="false" ht="15" hidden="false" customHeight="false" outlineLevel="0" collapsed="false">
      <c r="B19" s="17"/>
      <c r="C19" s="26"/>
      <c r="D19" s="38"/>
      <c r="E19" s="26"/>
      <c r="F19" s="39" t="str">
        <f aca="false">IF(C19="","",IF($C$6="Snowball",COUNTIFS($C$10:$C$19,"&lt;"&amp;C19,$C$10:$C$19,"&lt;&gt;")+1,COUNTIFS($D$10:$D$19,"&gt;"&amp;D19,$C$10:$C$19,"&lt;&gt;")+1))</f>
        <v/>
      </c>
      <c r="G19" s="39" t="str">
        <f aca="false">IF(OR(C19="",E19=""),"",IFERROR(ROUNDUP(NPER(D19/12,-E19,C19),0),"never: raise the minimum"))</f>
        <v/>
      </c>
      <c r="H19" s="22" t="str">
        <f aca="false">IF(OR(C19="",E19="",NOT(ISNUMBER(G19))),"",G19*E19-C19)</f>
        <v/>
      </c>
    </row>
    <row r="20" customFormat="false" ht="15" hidden="false" customHeight="false" outlineLevel="0" collapsed="false">
      <c r="B20" s="19" t="s">
        <v>161</v>
      </c>
      <c r="C20" s="23" t="n">
        <f aca="false">SUM(C10:C19)</f>
        <v>25100</v>
      </c>
      <c r="E20" s="23" t="n">
        <f aca="false">SUM(E10:E19)</f>
        <v>465</v>
      </c>
    </row>
  </sheetData>
  <sheetProtection sheet="true" formatColumns="false" formatRows="false" insertRows="false" sort="false" autoFilter="false"/>
  <dataValidations count="1">
    <dataValidation allowBlank="false" errorStyle="stop" operator="between" showDropDown="false" showErrorMessage="false" showInputMessage="false" sqref="C6" type="list">
      <formula1>"Snowball,Avalanche"</formula1>
      <formula2>0</formula2>
    </dataValidation>
  </dataValidations>
  <hyperlinks>
    <hyperlink ref="B4" r:id="rId1" location="'Start%20here'!A1" display="Start here"/>
    <hyperlink ref="C4" r:id="rId2" location="'Dashboard'!A1" display="Dashboard"/>
    <hyperlink ref="D4" r:id="rId3" location="'Setup'!A1" display="Setup"/>
    <hyperlink ref="E4" r:id="rId4" location="'January'!A1" display="Months"/>
    <hyperlink ref="F4" r:id="rId5" location="'Bills'!A1" display="Bills"/>
    <hyperlink ref="G4" r:id="rId6" location="'Paycheck%20plan'!A1" display="Paycheck"/>
    <hyperlink ref="H4" r:id="rId7" location="'Debt%20payoff'!A1" display="Debt"/>
    <hyperlink ref="I4" r:id="rId8" location="'Savings%20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4"/>
    <col collapsed="false" customWidth="true" hidden="false" outlineLevel="0" max="4" min="3" style="0" width="14"/>
    <col collapsed="false" customWidth="true" hidden="false" outlineLevel="0" max="5" min="5" style="0" width="12"/>
    <col collapsed="false" customWidth="true" hidden="false" outlineLevel="0" max="6" min="6" style="0" width="14"/>
    <col collapsed="false" customWidth="true" hidden="false" outlineLevel="0" max="7" min="7" style="0" width="16"/>
    <col collapsed="false" customWidth="true" hidden="false" outlineLevel="0" max="29" min="8" style="0" width="14"/>
  </cols>
  <sheetData>
    <row r="2" customFormat="false" ht="33.75" hidden="false" customHeight="true" outlineLevel="0" collapsed="false">
      <c r="B2" s="1" t="s">
        <v>162</v>
      </c>
    </row>
    <row r="3" customFormat="false" ht="15" hidden="false" customHeight="false" outlineLevel="0" collapsed="false">
      <c r="B3" s="2" t="s">
        <v>163</v>
      </c>
    </row>
    <row r="4" customFormat="false" ht="15" hidden="false" customHeight="false" outlineLevel="0" collapsed="false">
      <c r="B4" s="3" t="s">
        <v>2</v>
      </c>
      <c r="C4" s="3" t="s">
        <v>3</v>
      </c>
      <c r="D4" s="3" t="s">
        <v>4</v>
      </c>
      <c r="E4" s="3" t="s">
        <v>5</v>
      </c>
      <c r="F4" s="3" t="s">
        <v>6</v>
      </c>
      <c r="G4" s="3" t="s">
        <v>7</v>
      </c>
      <c r="H4" s="3" t="s">
        <v>8</v>
      </c>
      <c r="I4" s="3" t="s">
        <v>9</v>
      </c>
    </row>
    <row r="6" customFormat="false" ht="21.75" hidden="false" customHeight="true" outlineLevel="0" collapsed="false">
      <c r="B6" s="10" t="s">
        <v>164</v>
      </c>
      <c r="C6" s="10" t="s">
        <v>165</v>
      </c>
      <c r="D6" s="10" t="s">
        <v>63</v>
      </c>
      <c r="E6" s="10" t="s">
        <v>166</v>
      </c>
      <c r="F6" s="10" t="s">
        <v>167</v>
      </c>
      <c r="G6" s="10" t="s">
        <v>168</v>
      </c>
    </row>
    <row r="7" customFormat="false" ht="15" hidden="false" customHeight="false" outlineLevel="0" collapsed="false">
      <c r="B7" s="17" t="s">
        <v>92</v>
      </c>
      <c r="C7" s="26" t="n">
        <v>5000</v>
      </c>
      <c r="D7" s="26" t="n">
        <v>1200</v>
      </c>
      <c r="E7" s="33" t="n">
        <f aca="false">IF(OR(C7="",C7=0),"",MIN(1,D7/C7))</f>
        <v>0.24</v>
      </c>
      <c r="F7" s="40" t="n">
        <v>46722</v>
      </c>
      <c r="G7" s="22" t="n">
        <f aca="true">IF(OR(C7="",F7=""),"",MAX(0,(C7-D7)/MAX(1,DATEDIF(TODAY(),F7,"m"))))</f>
        <v>292.307692307692</v>
      </c>
    </row>
    <row r="8" customFormat="false" ht="15" hidden="false" customHeight="false" outlineLevel="0" collapsed="false">
      <c r="B8" s="17" t="s">
        <v>169</v>
      </c>
      <c r="C8" s="26" t="n">
        <v>1800</v>
      </c>
      <c r="D8" s="26" t="n">
        <v>450</v>
      </c>
      <c r="E8" s="33" t="n">
        <f aca="false">IF(OR(C8="",C8=0),"",MIN(1,D8/C8))</f>
        <v>0.25</v>
      </c>
      <c r="F8" s="40" t="n">
        <v>46569</v>
      </c>
      <c r="G8" s="22" t="n">
        <f aca="true">IF(OR(C8="",F8=""),"",MAX(0,(C8-D8)/MAX(1,DATEDIF(TODAY(),F8,"m"))))</f>
        <v>168.75</v>
      </c>
    </row>
    <row r="9" customFormat="false" ht="15" hidden="false" customHeight="false" outlineLevel="0" collapsed="false">
      <c r="B9" s="17" t="s">
        <v>170</v>
      </c>
      <c r="C9" s="26" t="n">
        <v>1200</v>
      </c>
      <c r="D9" s="26" t="n">
        <v>300</v>
      </c>
      <c r="E9" s="33" t="n">
        <f aca="false">IF(OR(C9="",C9=0),"",MIN(1,D9/C9))</f>
        <v>0.25</v>
      </c>
      <c r="F9" s="40" t="n">
        <v>46631</v>
      </c>
      <c r="G9" s="22" t="n">
        <f aca="true">IF(OR(C9="",F9=""),"",MAX(0,(C9-D9)/MAX(1,DATEDIF(TODAY(),F9,"m"))))</f>
        <v>90</v>
      </c>
    </row>
    <row r="10" customFormat="false" ht="15" hidden="false" customHeight="false" outlineLevel="0" collapsed="false">
      <c r="B10" s="17"/>
      <c r="C10" s="26"/>
      <c r="D10" s="26"/>
      <c r="E10" s="33" t="str">
        <f aca="false">IF(OR(C10="",C10=0),"",MIN(1,D10/C10))</f>
        <v/>
      </c>
      <c r="F10" s="40"/>
      <c r="G10" s="22" t="str">
        <f aca="true">IF(OR(C10="",F10=""),"",MAX(0,(C10-D10)/MAX(1,DATEDIF(TODAY(),F10,"m"))))</f>
        <v/>
      </c>
    </row>
    <row r="11" customFormat="false" ht="15" hidden="false" customHeight="false" outlineLevel="0" collapsed="false">
      <c r="B11" s="17"/>
      <c r="C11" s="26"/>
      <c r="D11" s="26"/>
      <c r="E11" s="33" t="str">
        <f aca="false">IF(OR(C11="",C11=0),"",MIN(1,D11/C11))</f>
        <v/>
      </c>
      <c r="F11" s="40"/>
      <c r="G11" s="22" t="str">
        <f aca="true">IF(OR(C11="",F11=""),"",MAX(0,(C11-D11)/MAX(1,DATEDIF(TODAY(),F11,"m"))))</f>
        <v/>
      </c>
    </row>
    <row r="12" customFormat="false" ht="15" hidden="false" customHeight="false" outlineLevel="0" collapsed="false">
      <c r="B12" s="17"/>
      <c r="C12" s="26"/>
      <c r="D12" s="26"/>
      <c r="E12" s="33" t="str">
        <f aca="false">IF(OR(C12="",C12=0),"",MIN(1,D12/C12))</f>
        <v/>
      </c>
      <c r="F12" s="40"/>
      <c r="G12" s="22" t="str">
        <f aca="true">IF(OR(C12="",F12=""),"",MAX(0,(C12-D12)/MAX(1,DATEDIF(TODAY(),F12,"m"))))</f>
        <v/>
      </c>
    </row>
    <row r="13" customFormat="false" ht="15" hidden="false" customHeight="false" outlineLevel="0" collapsed="false">
      <c r="B13" s="17"/>
      <c r="C13" s="26"/>
      <c r="D13" s="26"/>
      <c r="E13" s="33" t="str">
        <f aca="false">IF(OR(C13="",C13=0),"",MIN(1,D13/C13))</f>
        <v/>
      </c>
      <c r="F13" s="40"/>
      <c r="G13" s="22" t="str">
        <f aca="true">IF(OR(C13="",F13=""),"",MAX(0,(C13-D13)/MAX(1,DATEDIF(TODAY(),F13,"m"))))</f>
        <v/>
      </c>
    </row>
    <row r="14" customFormat="false" ht="15" hidden="false" customHeight="false" outlineLevel="0" collapsed="false">
      <c r="B14" s="17"/>
      <c r="C14" s="26"/>
      <c r="D14" s="26"/>
      <c r="E14" s="33" t="str">
        <f aca="false">IF(OR(C14="",C14=0),"",MIN(1,D14/C14))</f>
        <v/>
      </c>
      <c r="F14" s="40"/>
      <c r="G14" s="22" t="str">
        <f aca="true">IF(OR(C14="",F14=""),"",MAX(0,(C14-D14)/MAX(1,DATEDIF(TODAY(),F14,"m"))))</f>
        <v/>
      </c>
    </row>
    <row r="15" customFormat="false" ht="15" hidden="false" customHeight="false" outlineLevel="0" collapsed="false">
      <c r="B15" s="17"/>
      <c r="C15" s="26"/>
      <c r="D15" s="26"/>
      <c r="E15" s="33" t="str">
        <f aca="false">IF(OR(C15="",C15=0),"",MIN(1,D15/C15))</f>
        <v/>
      </c>
      <c r="F15" s="40"/>
      <c r="G15" s="22" t="str">
        <f aca="true">IF(OR(C15="",F15=""),"",MAX(0,(C15-D15)/MAX(1,DATEDIF(TODAY(),F15,"m"))))</f>
        <v/>
      </c>
    </row>
    <row r="16" customFormat="false" ht="15" hidden="false" customHeight="false" outlineLevel="0" collapsed="false">
      <c r="B16" s="17"/>
      <c r="C16" s="26"/>
      <c r="D16" s="26"/>
      <c r="E16" s="33" t="str">
        <f aca="false">IF(OR(C16="",C16=0),"",MIN(1,D16/C16))</f>
        <v/>
      </c>
      <c r="F16" s="40"/>
      <c r="G16" s="22" t="str">
        <f aca="true">IF(OR(C16="",F16=""),"",MAX(0,(C16-D16)/MAX(1,DATEDIF(TODAY(),F16,"m"))))</f>
        <v/>
      </c>
    </row>
  </sheetData>
  <sheetProtection sheet="true" formatColumns="false" formatRows="false" insertRows="false" sort="false" autoFilter="false"/>
  <conditionalFormatting sqref="E7:E16">
    <cfRule type="dataBar" priority="2">
      <dataBar showValue="1" minLength="10" maxLength="90">
        <cfvo type="num" val="0"/>
        <cfvo type="num" val="1"/>
        <color rgb="FF2F6F5E"/>
      </dataBar>
      <extLst>
        <ext xmlns:x14="http://schemas.microsoft.com/office/spreadsheetml/2009/9/main" uri="{B025F937-C7B1-47D3-B67F-A62EFF666E3E}">
          <x14:id>{71AA7A77-EAB6-45C0-BFD0-BEE8AC647617}</x14:id>
        </ext>
      </extLst>
    </cfRule>
  </conditionalFormatting>
  <hyperlinks>
    <hyperlink ref="B4" r:id="rId1" location="'Start%20here'!A1" display="Start here"/>
    <hyperlink ref="C4" r:id="rId2" location="'Dashboard'!A1" display="Dashboard"/>
    <hyperlink ref="D4" r:id="rId3" location="'Setup'!A1" display="Setup"/>
    <hyperlink ref="E4" r:id="rId4" location="'January'!A1" display="Months"/>
    <hyperlink ref="F4" r:id="rId5" location="'Bills'!A1" display="Bills"/>
    <hyperlink ref="G4" r:id="rId6" location="'Paycheck%20plan'!A1" display="Paycheck"/>
    <hyperlink ref="H4" r:id="rId7" location="'Debt%20payoff'!A1" display="Debt"/>
    <hyperlink ref="I4" r:id="rId8" location="'Savings%20goals'!A1" display="Saving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71AA7A77-EAB6-45C0-BFD0-BEE8AC647617}">
            <x14:dataBar minLength="10" maxLength="90" axisPosition="none" gradient="true">
              <x14:cfvo type="num">
                <xm:f>0</xm:f>
              </x14:cfvo>
              <x14:cfvo type="num">
                <xm:f>1</xm:f>
              </x14:cfvo>
              <x14:negativeFillColor rgb="FF2F6F5E"/>
              <x14:axisColor rgb="FF000000"/>
            </x14:dataBar>
          </x14:cfRule>
          <xm:sqref>E7:E16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2026-10-22T07:42:24Z</dcterms:created>
  <dc:creator>openpyxl</dc:creator>
  <dc:description/>
  <dc:language>en-US</dc:language>
  <cp:lastModifiedBy/>
  <dcterms:modified xsi:type="dcterms:W3CDTF">2026-10-22T07:42:25Z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